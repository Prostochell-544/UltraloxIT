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tudent\Documents\122А\Егоров\"/>
    </mc:Choice>
  </mc:AlternateContent>
  <bookViews>
    <workbookView xWindow="0" yWindow="0" windowWidth="28800" windowHeight="12330" activeTab="10"/>
  </bookViews>
  <sheets>
    <sheet name="Лист1" sheetId="1" r:id="rId1"/>
    <sheet name="Лист2" sheetId="2" r:id="rId2"/>
    <sheet name="Лист3" sheetId="3" r:id="rId3"/>
    <sheet name="Лист5" sheetId="5" r:id="rId4"/>
    <sheet name="Лист6" sheetId="6" r:id="rId5"/>
    <sheet name="Лист7" sheetId="7" r:id="rId6"/>
    <sheet name="Лист4" sheetId="8" r:id="rId7"/>
    <sheet name="Лист8" sheetId="9" r:id="rId8"/>
    <sheet name="Лист9" sheetId="10" r:id="rId9"/>
    <sheet name="Лист10" sheetId="11" r:id="rId10"/>
    <sheet name="Лист11" sheetId="12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2" l="1"/>
  <c r="G19" i="12" s="1"/>
  <c r="F20" i="12"/>
  <c r="G20" i="12" s="1"/>
  <c r="F21" i="12"/>
  <c r="G21" i="12" s="1"/>
  <c r="F22" i="12"/>
  <c r="G22" i="12" s="1"/>
  <c r="F23" i="12"/>
  <c r="G23" i="12" s="1"/>
  <c r="F24" i="12"/>
  <c r="G24" i="12" s="1"/>
  <c r="F25" i="12"/>
  <c r="G25" i="12" s="1"/>
  <c r="F26" i="12"/>
  <c r="G26" i="12" s="1"/>
  <c r="F27" i="12"/>
  <c r="G27" i="12" s="1"/>
  <c r="F28" i="12"/>
  <c r="G28" i="12" s="1"/>
  <c r="F29" i="12"/>
  <c r="G29" i="12" s="1"/>
  <c r="F30" i="12"/>
  <c r="G30" i="12" s="1"/>
  <c r="F31" i="12"/>
  <c r="G31" i="12" s="1"/>
  <c r="F32" i="12"/>
  <c r="G32" i="12" s="1"/>
  <c r="F33" i="12"/>
  <c r="G33" i="12" s="1"/>
  <c r="F34" i="12"/>
  <c r="G34" i="12" s="1"/>
  <c r="F35" i="12"/>
  <c r="G35" i="12" s="1"/>
  <c r="F36" i="12"/>
  <c r="G36" i="12" s="1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9" i="12"/>
  <c r="E10" i="12"/>
  <c r="E11" i="12"/>
  <c r="E12" i="12"/>
  <c r="F12" i="12" s="1"/>
  <c r="G12" i="12" s="1"/>
  <c r="E13" i="12"/>
  <c r="E14" i="12"/>
  <c r="E15" i="12"/>
  <c r="F15" i="12" s="1"/>
  <c r="G15" i="12" s="1"/>
  <c r="E16" i="12"/>
  <c r="E17" i="12"/>
  <c r="E18" i="12"/>
  <c r="C20" i="12"/>
  <c r="C21" i="12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19" i="12"/>
  <c r="D18" i="12"/>
  <c r="F18" i="12" s="1"/>
  <c r="G18" i="12" s="1"/>
  <c r="D17" i="12"/>
  <c r="F17" i="12" s="1"/>
  <c r="G17" i="12" s="1"/>
  <c r="D16" i="12"/>
  <c r="F13" i="12"/>
  <c r="G13" i="12" s="1"/>
  <c r="F9" i="12"/>
  <c r="G9" i="12" s="1"/>
  <c r="F6" i="12"/>
  <c r="G6" i="12" s="1"/>
  <c r="F7" i="12"/>
  <c r="G7" i="12" s="1"/>
  <c r="F8" i="12"/>
  <c r="G8" i="12" s="1"/>
  <c r="F10" i="12"/>
  <c r="G10" i="12" s="1"/>
  <c r="F11" i="12"/>
  <c r="G11" i="12" s="1"/>
  <c r="F14" i="12"/>
  <c r="G14" i="12" s="1"/>
  <c r="F5" i="12"/>
  <c r="G5" i="12" s="1"/>
  <c r="E6" i="12"/>
  <c r="E7" i="12"/>
  <c r="E8" i="12"/>
  <c r="E5" i="12"/>
  <c r="D6" i="12"/>
  <c r="D7" i="12"/>
  <c r="D8" i="12"/>
  <c r="D9" i="12"/>
  <c r="D10" i="12"/>
  <c r="D11" i="12"/>
  <c r="D12" i="12"/>
  <c r="D13" i="12"/>
  <c r="D14" i="12"/>
  <c r="D15" i="12"/>
  <c r="D5" i="12"/>
  <c r="F16" i="12" l="1"/>
  <c r="G16" i="12" s="1"/>
  <c r="B2" i="12" s="1"/>
  <c r="N5" i="10"/>
  <c r="C3" i="8" l="1"/>
  <c r="C2" i="8" s="1"/>
  <c r="C1" i="8"/>
  <c r="I6" i="7"/>
  <c r="H6" i="7"/>
  <c r="G6" i="7"/>
  <c r="F6" i="7"/>
  <c r="E6" i="7"/>
  <c r="D6" i="7"/>
  <c r="C6" i="7"/>
  <c r="C5" i="7"/>
  <c r="F3" i="6"/>
  <c r="G3" i="6"/>
  <c r="H3" i="6"/>
  <c r="I3" i="6"/>
  <c r="J3" i="6"/>
  <c r="E3" i="6"/>
  <c r="E5" i="7"/>
  <c r="F5" i="7"/>
  <c r="G5" i="7"/>
  <c r="H5" i="7"/>
  <c r="D5" i="7"/>
  <c r="F6" i="6"/>
  <c r="I5" i="6"/>
  <c r="H5" i="6"/>
  <c r="G5" i="6"/>
  <c r="F5" i="6"/>
  <c r="J5" i="6"/>
  <c r="H4" i="7"/>
  <c r="G4" i="7"/>
  <c r="F4" i="7"/>
  <c r="E4" i="7"/>
  <c r="D4" i="7"/>
  <c r="B3" i="7"/>
  <c r="C5" i="6"/>
  <c r="D5" i="6" s="1"/>
  <c r="D1" i="8" l="1"/>
  <c r="D3" i="8"/>
  <c r="D2" i="8" s="1"/>
  <c r="C4" i="7"/>
  <c r="C4" i="5"/>
  <c r="B3" i="5"/>
  <c r="B2" i="5"/>
  <c r="B7" i="3"/>
  <c r="C7" i="3"/>
  <c r="D7" i="3"/>
  <c r="A7" i="3"/>
  <c r="B2" i="3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1" i="2"/>
  <c r="A2" i="2"/>
  <c r="T21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C3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Q1" i="1"/>
  <c r="R1" i="1"/>
  <c r="S1" i="1" s="1"/>
  <c r="T1" i="1" s="1"/>
  <c r="K1" i="1"/>
  <c r="L1" i="1"/>
  <c r="M1" i="1" s="1"/>
  <c r="N1" i="1" s="1"/>
  <c r="O1" i="1" s="1"/>
  <c r="P1" i="1" s="1"/>
  <c r="D1" i="1"/>
  <c r="E1" i="1"/>
  <c r="F1" i="1" s="1"/>
  <c r="G1" i="1" s="1"/>
  <c r="H1" i="1" s="1"/>
  <c r="I1" i="1" s="1"/>
  <c r="J1" i="1" s="1"/>
  <c r="C1" i="1"/>
  <c r="A4" i="1"/>
  <c r="A5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3" i="1"/>
  <c r="E1" i="8" l="1"/>
  <c r="E3" i="8"/>
  <c r="E2" i="8" s="1"/>
  <c r="B4" i="5"/>
  <c r="F3" i="8" l="1"/>
  <c r="F2" i="8" s="1"/>
  <c r="F1" i="8"/>
  <c r="G3" i="8" l="1"/>
  <c r="G2" i="8" s="1"/>
  <c r="G1" i="8"/>
  <c r="M2" i="8" l="1"/>
</calcChain>
</file>

<file path=xl/sharedStrings.xml><?xml version="1.0" encoding="utf-8"?>
<sst xmlns="http://schemas.openxmlformats.org/spreadsheetml/2006/main" count="232" uniqueCount="126">
  <si>
    <t>N</t>
  </si>
  <si>
    <t>i (битов)</t>
  </si>
  <si>
    <t>I</t>
  </si>
  <si>
    <t>i</t>
  </si>
  <si>
    <t>байт</t>
  </si>
  <si>
    <t>бит</t>
  </si>
  <si>
    <t>Столбец1</t>
  </si>
  <si>
    <t>Я к вам пишу — чего же боле? Что я могу еще сказать?</t>
  </si>
  <si>
    <t>Слов</t>
  </si>
  <si>
    <t>Вес одного символа</t>
  </si>
  <si>
    <t>К</t>
  </si>
  <si>
    <t>Число</t>
  </si>
  <si>
    <t>Сис счисления</t>
  </si>
  <si>
    <t>Количество символов</t>
  </si>
  <si>
    <t>0</t>
  </si>
  <si>
    <t>Ответ:</t>
  </si>
  <si>
    <t>Бибов</t>
  </si>
  <si>
    <t>Илья</t>
  </si>
  <si>
    <t>Ахмедович</t>
  </si>
  <si>
    <t>Зубенко</t>
  </si>
  <si>
    <t>Михаил</t>
  </si>
  <si>
    <t>Петровович</t>
  </si>
  <si>
    <t>Кумулитивов</t>
  </si>
  <si>
    <t>Тарас</t>
  </si>
  <si>
    <t>Рикошетович</t>
  </si>
  <si>
    <t>Тазов</t>
  </si>
  <si>
    <t>Иван</t>
  </si>
  <si>
    <t>Халфлайфович</t>
  </si>
  <si>
    <t>Гыгов</t>
  </si>
  <si>
    <t>Шепард</t>
  </si>
  <si>
    <t>Капралович</t>
  </si>
  <si>
    <t>Хорчо</t>
  </si>
  <si>
    <t>Суп</t>
  </si>
  <si>
    <t>Хедкрабы</t>
  </si>
  <si>
    <t>Чай</t>
  </si>
  <si>
    <t>Блюдо</t>
  </si>
  <si>
    <t>Жанр</t>
  </si>
  <si>
    <t>Фантастика</t>
  </si>
  <si>
    <t>Комедия</t>
  </si>
  <si>
    <t>Легенда</t>
  </si>
  <si>
    <t>Имя</t>
  </si>
  <si>
    <t>ФИО (Фамилия)</t>
  </si>
  <si>
    <t>Отечсво</t>
  </si>
  <si>
    <t>Ужасы</t>
  </si>
  <si>
    <t>Стихи</t>
  </si>
  <si>
    <t>c</t>
  </si>
  <si>
    <t>a</t>
  </si>
  <si>
    <t>b</t>
  </si>
  <si>
    <t>Тип</t>
  </si>
  <si>
    <t>Урон</t>
  </si>
  <si>
    <t>АхмедовичR</t>
  </si>
  <si>
    <t>Основание системы</t>
  </si>
  <si>
    <t>Разряд</t>
  </si>
  <si>
    <t>Перевод</t>
  </si>
  <si>
    <t>=</t>
  </si>
  <si>
    <t>0.33</t>
  </si>
  <si>
    <t>,</t>
  </si>
  <si>
    <t xml:space="preserve"> </t>
  </si>
  <si>
    <t>абвгдежзик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</si>
  <si>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</si>
  <si>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</si>
  <si>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</si>
  <si>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</si>
  <si>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</si>
  <si>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</si>
  <si>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</si>
  <si>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</si>
  <si>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</si>
  <si>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к</t>
  </si>
  <si>
    <t>.-</t>
  </si>
  <si>
    <t>-…</t>
  </si>
  <si>
    <t>.--</t>
  </si>
  <si>
    <t>--.</t>
  </si>
  <si>
    <t>-..</t>
  </si>
  <si>
    <t>.</t>
  </si>
  <si>
    <t>…-</t>
  </si>
  <si>
    <t>--..</t>
  </si>
  <si>
    <t>..</t>
  </si>
  <si>
    <t>й</t>
  </si>
  <si>
    <t>.---</t>
  </si>
  <si>
    <t>-.-</t>
  </si>
  <si>
    <t>Ввод:</t>
  </si>
  <si>
    <t>Вывод:</t>
  </si>
  <si>
    <t>ежик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</si>
  <si>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</si>
  <si>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</si>
  <si>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</si>
  <si>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</si>
  <si>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</si>
  <si>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</si>
  <si>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</si>
  <si>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</si>
  <si>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</si>
  <si>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</si>
  <si>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</si>
  <si>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</si>
  <si>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</si>
  <si>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</si>
  <si>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</si>
  <si>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ъ</t>
  </si>
  <si>
    <t>ы</t>
  </si>
  <si>
    <t>ь</t>
  </si>
  <si>
    <t>э</t>
  </si>
  <si>
    <t>ю</t>
  </si>
  <si>
    <t>я</t>
  </si>
  <si>
    <t>--</t>
  </si>
  <si>
    <t>.-..</t>
  </si>
  <si>
    <t>-</t>
  </si>
  <si>
    <t>---</t>
  </si>
  <si>
    <t>.--.</t>
  </si>
  <si>
    <t>.-.</t>
  </si>
  <si>
    <t>…</t>
  </si>
  <si>
    <t>-.</t>
  </si>
  <si>
    <t>..-</t>
  </si>
  <si>
    <t>..-.</t>
  </si>
  <si>
    <t>….</t>
  </si>
  <si>
    <t>-.-.</t>
  </si>
  <si>
    <t>---.</t>
  </si>
  <si>
    <t>----</t>
  </si>
  <si>
    <t>--.-</t>
  </si>
  <si>
    <t>.--.-</t>
  </si>
  <si>
    <t>-.--</t>
  </si>
  <si>
    <t>-..-</t>
  </si>
  <si>
    <t>..-..</t>
  </si>
  <si>
    <t>..--</t>
  </si>
  <si>
    <t>.-.-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</si>
</sst>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204"/>
      <scheme val="minor"/>
    </font>
    <font>
      <b/>
      <sz val="12"/>
      <color rgb="FF202124"/>
      <name val="Arial"/>
      <family val="2"/>
      <charset val="204"/>
    </font>
    <font>
      <sz val="12"/>
      <color rgb="FF3C3C3C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1" applyAlignment="1">
      <alignment horizontal="center"/>
    </xf>
    <xf numFmtId="0" fontId="3" fillId="2" borderId="1" xfId="1"/>
    <xf numFmtId="49" fontId="0" fillId="0" borderId="0" xfId="0" applyNumberFormat="1"/>
    <xf numFmtId="0" fontId="5" fillId="4" borderId="0" xfId="3"/>
    <xf numFmtId="0" fontId="4" fillId="3" borderId="0" xfId="2"/>
    <xf numFmtId="0" fontId="4" fillId="3" borderId="0" xfId="2" applyNumberFormat="1"/>
    <xf numFmtId="49" fontId="0" fillId="0" borderId="0" xfId="0" quotePrefix="1" applyNumberFormat="1"/>
  </cellXfs>
  <cellStyles count="4">
    <cellStyle name="Вывод" xfId="1" builtinId="21"/>
    <cellStyle name="Нейтральный" xfId="3" builtinId="28"/>
    <cellStyle name="Обычный" xfId="0" builtinId="0"/>
    <cellStyle name="Плохой" xfId="2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Таблица3" displayName="Таблица3" ref="A1:B3" totalsRowShown="0">
  <autoFilter ref="A1:B3"/>
  <tableColumns count="2">
    <tableColumn id="1" name="Столбец1"/>
    <tableColumn id="2" name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T21"/>
  <sheetViews>
    <sheetView workbookViewId="0">
      <selection activeCell="T22" sqref="T22"/>
    </sheetView>
  </sheetViews>
  <sheetFormatPr defaultRowHeight="15" x14ac:dyDescent="0.25"/>
  <cols>
    <col min="1" max="1" width="9.140625" customWidth="1"/>
  </cols>
  <sheetData>
    <row r="1" spans="1:20" x14ac:dyDescent="0.25">
      <c r="A1">
        <v>1</v>
      </c>
      <c r="B1">
        <v>2</v>
      </c>
      <c r="C1">
        <f>B1+$A$1</f>
        <v>3</v>
      </c>
      <c r="D1">
        <f t="shared" ref="D1:T1" si="0">C1+$A$1</f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>J1+$A$1</f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>P1+$A$1</f>
        <v>17</v>
      </c>
      <c r="R1">
        <f t="shared" si="0"/>
        <v>18</v>
      </c>
      <c r="S1">
        <f t="shared" si="0"/>
        <v>19</v>
      </c>
      <c r="T1">
        <f t="shared" si="0"/>
        <v>20</v>
      </c>
    </row>
    <row r="2" spans="1:20" x14ac:dyDescent="0.25">
      <c r="A2">
        <v>2</v>
      </c>
      <c r="B2">
        <f>B$1*$A2</f>
        <v>4</v>
      </c>
      <c r="C2">
        <f t="shared" ref="C2:T16" si="1">C$1*$A2</f>
        <v>6</v>
      </c>
      <c r="D2">
        <f t="shared" si="1"/>
        <v>8</v>
      </c>
      <c r="E2">
        <f t="shared" si="1"/>
        <v>10</v>
      </c>
      <c r="F2">
        <f t="shared" si="1"/>
        <v>12</v>
      </c>
      <c r="G2">
        <f t="shared" si="1"/>
        <v>14</v>
      </c>
      <c r="H2">
        <f t="shared" si="1"/>
        <v>16</v>
      </c>
      <c r="I2">
        <f t="shared" si="1"/>
        <v>18</v>
      </c>
      <c r="J2">
        <f t="shared" si="1"/>
        <v>20</v>
      </c>
      <c r="K2">
        <f t="shared" si="1"/>
        <v>22</v>
      </c>
      <c r="L2">
        <f t="shared" si="1"/>
        <v>24</v>
      </c>
      <c r="M2">
        <f t="shared" si="1"/>
        <v>26</v>
      </c>
      <c r="N2">
        <f t="shared" si="1"/>
        <v>28</v>
      </c>
      <c r="O2">
        <f t="shared" si="1"/>
        <v>30</v>
      </c>
      <c r="P2">
        <f t="shared" si="1"/>
        <v>32</v>
      </c>
      <c r="Q2">
        <f t="shared" si="1"/>
        <v>34</v>
      </c>
      <c r="R2">
        <f t="shared" si="1"/>
        <v>36</v>
      </c>
      <c r="S2">
        <f t="shared" si="1"/>
        <v>38</v>
      </c>
      <c r="T2">
        <f t="shared" si="1"/>
        <v>40</v>
      </c>
    </row>
    <row r="3" spans="1:20" x14ac:dyDescent="0.25">
      <c r="A3">
        <f>A2+$A$1</f>
        <v>3</v>
      </c>
      <c r="B3">
        <f t="shared" ref="B3:B20" si="2">$B$1*A3</f>
        <v>6</v>
      </c>
      <c r="C3">
        <f t="shared" si="1"/>
        <v>9</v>
      </c>
      <c r="D3">
        <f t="shared" si="1"/>
        <v>12</v>
      </c>
      <c r="E3">
        <f t="shared" si="1"/>
        <v>15</v>
      </c>
      <c r="F3">
        <f t="shared" si="1"/>
        <v>18</v>
      </c>
      <c r="G3">
        <f t="shared" si="1"/>
        <v>21</v>
      </c>
      <c r="H3">
        <f t="shared" si="1"/>
        <v>24</v>
      </c>
      <c r="I3">
        <f t="shared" si="1"/>
        <v>27</v>
      </c>
      <c r="J3">
        <f t="shared" si="1"/>
        <v>30</v>
      </c>
      <c r="K3">
        <f t="shared" si="1"/>
        <v>33</v>
      </c>
      <c r="L3">
        <f t="shared" si="1"/>
        <v>36</v>
      </c>
      <c r="M3">
        <f t="shared" si="1"/>
        <v>39</v>
      </c>
      <c r="N3">
        <f t="shared" si="1"/>
        <v>42</v>
      </c>
      <c r="O3">
        <f t="shared" si="1"/>
        <v>45</v>
      </c>
      <c r="P3">
        <f t="shared" si="1"/>
        <v>48</v>
      </c>
      <c r="Q3">
        <f t="shared" si="1"/>
        <v>51</v>
      </c>
      <c r="R3">
        <f t="shared" si="1"/>
        <v>54</v>
      </c>
      <c r="S3">
        <f t="shared" si="1"/>
        <v>57</v>
      </c>
      <c r="T3">
        <f t="shared" si="1"/>
        <v>60</v>
      </c>
    </row>
    <row r="4" spans="1:20" x14ac:dyDescent="0.25">
      <c r="A4">
        <f t="shared" ref="A4:A20" si="3">A3+$A$1</f>
        <v>4</v>
      </c>
      <c r="B4">
        <f t="shared" si="2"/>
        <v>8</v>
      </c>
      <c r="C4">
        <f t="shared" si="1"/>
        <v>12</v>
      </c>
      <c r="D4">
        <f t="shared" si="1"/>
        <v>16</v>
      </c>
      <c r="E4">
        <f t="shared" si="1"/>
        <v>20</v>
      </c>
      <c r="F4">
        <f t="shared" si="1"/>
        <v>24</v>
      </c>
      <c r="G4">
        <f t="shared" si="1"/>
        <v>28</v>
      </c>
      <c r="H4">
        <f t="shared" si="1"/>
        <v>32</v>
      </c>
      <c r="I4">
        <f t="shared" si="1"/>
        <v>36</v>
      </c>
      <c r="J4">
        <f t="shared" si="1"/>
        <v>40</v>
      </c>
      <c r="K4">
        <f t="shared" si="1"/>
        <v>44</v>
      </c>
      <c r="L4">
        <f t="shared" si="1"/>
        <v>48</v>
      </c>
      <c r="M4">
        <f t="shared" si="1"/>
        <v>52</v>
      </c>
      <c r="N4">
        <f t="shared" si="1"/>
        <v>56</v>
      </c>
      <c r="O4">
        <f t="shared" si="1"/>
        <v>60</v>
      </c>
      <c r="P4">
        <f t="shared" si="1"/>
        <v>64</v>
      </c>
      <c r="Q4">
        <f t="shared" si="1"/>
        <v>68</v>
      </c>
      <c r="R4">
        <f t="shared" si="1"/>
        <v>72</v>
      </c>
      <c r="S4">
        <f t="shared" si="1"/>
        <v>76</v>
      </c>
      <c r="T4">
        <f t="shared" si="1"/>
        <v>80</v>
      </c>
    </row>
    <row r="5" spans="1:20" x14ac:dyDescent="0.25">
      <c r="A5">
        <f t="shared" si="3"/>
        <v>5</v>
      </c>
      <c r="B5">
        <f t="shared" si="2"/>
        <v>10</v>
      </c>
      <c r="C5">
        <f t="shared" si="1"/>
        <v>15</v>
      </c>
      <c r="D5">
        <f t="shared" si="1"/>
        <v>20</v>
      </c>
      <c r="E5">
        <f t="shared" si="1"/>
        <v>25</v>
      </c>
      <c r="F5">
        <f t="shared" si="1"/>
        <v>30</v>
      </c>
      <c r="G5">
        <f t="shared" si="1"/>
        <v>35</v>
      </c>
      <c r="H5">
        <f t="shared" si="1"/>
        <v>40</v>
      </c>
      <c r="I5">
        <f t="shared" si="1"/>
        <v>45</v>
      </c>
      <c r="J5">
        <f t="shared" si="1"/>
        <v>50</v>
      </c>
      <c r="K5">
        <f t="shared" si="1"/>
        <v>55</v>
      </c>
      <c r="L5">
        <f t="shared" si="1"/>
        <v>60</v>
      </c>
      <c r="M5">
        <f t="shared" si="1"/>
        <v>65</v>
      </c>
      <c r="N5">
        <f t="shared" si="1"/>
        <v>70</v>
      </c>
      <c r="O5">
        <f t="shared" si="1"/>
        <v>75</v>
      </c>
      <c r="P5">
        <f t="shared" si="1"/>
        <v>80</v>
      </c>
      <c r="Q5">
        <f t="shared" si="1"/>
        <v>85</v>
      </c>
      <c r="R5">
        <f t="shared" si="1"/>
        <v>90</v>
      </c>
      <c r="S5">
        <f t="shared" si="1"/>
        <v>95</v>
      </c>
      <c r="T5">
        <f t="shared" si="1"/>
        <v>100</v>
      </c>
    </row>
    <row r="6" spans="1:20" x14ac:dyDescent="0.25">
      <c r="A6">
        <f t="shared" si="3"/>
        <v>6</v>
      </c>
      <c r="B6">
        <f t="shared" si="2"/>
        <v>12</v>
      </c>
      <c r="C6">
        <f t="shared" si="1"/>
        <v>18</v>
      </c>
      <c r="D6">
        <f t="shared" si="1"/>
        <v>24</v>
      </c>
      <c r="E6">
        <f t="shared" si="1"/>
        <v>30</v>
      </c>
      <c r="F6">
        <f t="shared" si="1"/>
        <v>36</v>
      </c>
      <c r="G6">
        <f t="shared" si="1"/>
        <v>42</v>
      </c>
      <c r="H6">
        <f t="shared" si="1"/>
        <v>48</v>
      </c>
      <c r="I6">
        <f t="shared" si="1"/>
        <v>54</v>
      </c>
      <c r="J6">
        <f t="shared" si="1"/>
        <v>60</v>
      </c>
      <c r="K6">
        <f t="shared" si="1"/>
        <v>66</v>
      </c>
      <c r="L6">
        <f t="shared" si="1"/>
        <v>72</v>
      </c>
      <c r="M6">
        <f t="shared" si="1"/>
        <v>78</v>
      </c>
      <c r="N6">
        <f t="shared" si="1"/>
        <v>84</v>
      </c>
      <c r="O6">
        <f t="shared" si="1"/>
        <v>90</v>
      </c>
      <c r="P6">
        <f t="shared" si="1"/>
        <v>96</v>
      </c>
      <c r="Q6">
        <f t="shared" si="1"/>
        <v>102</v>
      </c>
      <c r="R6">
        <f t="shared" si="1"/>
        <v>108</v>
      </c>
      <c r="S6">
        <f t="shared" si="1"/>
        <v>114</v>
      </c>
      <c r="T6">
        <f t="shared" si="1"/>
        <v>120</v>
      </c>
    </row>
    <row r="7" spans="1:20" x14ac:dyDescent="0.25">
      <c r="A7">
        <f t="shared" si="3"/>
        <v>7</v>
      </c>
      <c r="B7">
        <f t="shared" si="2"/>
        <v>14</v>
      </c>
      <c r="C7">
        <f t="shared" si="1"/>
        <v>21</v>
      </c>
      <c r="D7">
        <f t="shared" si="1"/>
        <v>28</v>
      </c>
      <c r="E7">
        <f t="shared" si="1"/>
        <v>35</v>
      </c>
      <c r="F7">
        <f t="shared" si="1"/>
        <v>42</v>
      </c>
      <c r="G7">
        <f t="shared" si="1"/>
        <v>49</v>
      </c>
      <c r="H7">
        <f t="shared" si="1"/>
        <v>56</v>
      </c>
      <c r="I7">
        <f t="shared" si="1"/>
        <v>63</v>
      </c>
      <c r="J7">
        <f t="shared" si="1"/>
        <v>70</v>
      </c>
      <c r="K7">
        <f t="shared" si="1"/>
        <v>77</v>
      </c>
      <c r="L7">
        <f t="shared" si="1"/>
        <v>84</v>
      </c>
      <c r="M7">
        <f t="shared" si="1"/>
        <v>91</v>
      </c>
      <c r="N7">
        <f t="shared" si="1"/>
        <v>98</v>
      </c>
      <c r="O7">
        <f t="shared" si="1"/>
        <v>105</v>
      </c>
      <c r="P7">
        <f t="shared" si="1"/>
        <v>112</v>
      </c>
      <c r="Q7">
        <f t="shared" si="1"/>
        <v>119</v>
      </c>
      <c r="R7">
        <f t="shared" si="1"/>
        <v>126</v>
      </c>
      <c r="S7">
        <f t="shared" si="1"/>
        <v>133</v>
      </c>
      <c r="T7">
        <f t="shared" si="1"/>
        <v>140</v>
      </c>
    </row>
    <row r="8" spans="1:20" x14ac:dyDescent="0.25">
      <c r="A8">
        <f t="shared" si="3"/>
        <v>8</v>
      </c>
      <c r="B8">
        <f t="shared" si="2"/>
        <v>16</v>
      </c>
      <c r="C8">
        <f t="shared" si="1"/>
        <v>24</v>
      </c>
      <c r="D8">
        <f t="shared" si="1"/>
        <v>32</v>
      </c>
      <c r="E8">
        <f t="shared" si="1"/>
        <v>40</v>
      </c>
      <c r="F8">
        <f t="shared" si="1"/>
        <v>48</v>
      </c>
      <c r="G8">
        <f t="shared" si="1"/>
        <v>56</v>
      </c>
      <c r="H8">
        <f t="shared" si="1"/>
        <v>64</v>
      </c>
      <c r="I8">
        <f t="shared" si="1"/>
        <v>72</v>
      </c>
      <c r="J8">
        <f t="shared" si="1"/>
        <v>80</v>
      </c>
      <c r="K8">
        <f t="shared" si="1"/>
        <v>88</v>
      </c>
      <c r="L8">
        <f t="shared" si="1"/>
        <v>96</v>
      </c>
      <c r="M8">
        <f t="shared" si="1"/>
        <v>104</v>
      </c>
      <c r="N8">
        <f t="shared" si="1"/>
        <v>112</v>
      </c>
      <c r="O8">
        <f t="shared" si="1"/>
        <v>120</v>
      </c>
      <c r="P8">
        <f t="shared" si="1"/>
        <v>128</v>
      </c>
      <c r="Q8">
        <f t="shared" si="1"/>
        <v>136</v>
      </c>
      <c r="R8">
        <f t="shared" si="1"/>
        <v>144</v>
      </c>
      <c r="S8">
        <f t="shared" si="1"/>
        <v>152</v>
      </c>
      <c r="T8">
        <f t="shared" si="1"/>
        <v>160</v>
      </c>
    </row>
    <row r="9" spans="1:20" x14ac:dyDescent="0.25">
      <c r="A9">
        <f t="shared" si="3"/>
        <v>9</v>
      </c>
      <c r="B9">
        <f t="shared" si="2"/>
        <v>18</v>
      </c>
      <c r="C9">
        <f t="shared" si="1"/>
        <v>27</v>
      </c>
      <c r="D9">
        <f t="shared" si="1"/>
        <v>36</v>
      </c>
      <c r="E9">
        <f t="shared" si="1"/>
        <v>45</v>
      </c>
      <c r="F9">
        <f t="shared" si="1"/>
        <v>54</v>
      </c>
      <c r="G9">
        <f t="shared" si="1"/>
        <v>63</v>
      </c>
      <c r="H9">
        <f t="shared" si="1"/>
        <v>72</v>
      </c>
      <c r="I9">
        <f t="shared" si="1"/>
        <v>81</v>
      </c>
      <c r="J9">
        <f t="shared" si="1"/>
        <v>90</v>
      </c>
      <c r="K9">
        <f t="shared" si="1"/>
        <v>99</v>
      </c>
      <c r="L9">
        <f t="shared" si="1"/>
        <v>108</v>
      </c>
      <c r="M9">
        <f t="shared" si="1"/>
        <v>117</v>
      </c>
      <c r="N9">
        <f t="shared" si="1"/>
        <v>126</v>
      </c>
      <c r="O9">
        <f t="shared" si="1"/>
        <v>135</v>
      </c>
      <c r="P9">
        <f t="shared" si="1"/>
        <v>144</v>
      </c>
      <c r="Q9">
        <f t="shared" si="1"/>
        <v>153</v>
      </c>
      <c r="R9">
        <f t="shared" si="1"/>
        <v>162</v>
      </c>
      <c r="S9">
        <f t="shared" si="1"/>
        <v>171</v>
      </c>
      <c r="T9">
        <f t="shared" si="1"/>
        <v>180</v>
      </c>
    </row>
    <row r="10" spans="1:20" x14ac:dyDescent="0.25">
      <c r="A10">
        <f t="shared" si="3"/>
        <v>10</v>
      </c>
      <c r="B10">
        <f t="shared" si="2"/>
        <v>20</v>
      </c>
      <c r="C10">
        <f t="shared" si="1"/>
        <v>30</v>
      </c>
      <c r="D10">
        <f t="shared" si="1"/>
        <v>40</v>
      </c>
      <c r="E10">
        <f t="shared" si="1"/>
        <v>50</v>
      </c>
      <c r="F10">
        <f t="shared" si="1"/>
        <v>60</v>
      </c>
      <c r="G10">
        <f t="shared" si="1"/>
        <v>70</v>
      </c>
      <c r="H10">
        <f t="shared" si="1"/>
        <v>80</v>
      </c>
      <c r="I10">
        <f t="shared" si="1"/>
        <v>90</v>
      </c>
      <c r="J10">
        <f t="shared" si="1"/>
        <v>100</v>
      </c>
      <c r="K10">
        <f t="shared" si="1"/>
        <v>110</v>
      </c>
      <c r="L10">
        <f t="shared" si="1"/>
        <v>120</v>
      </c>
      <c r="M10">
        <f t="shared" si="1"/>
        <v>130</v>
      </c>
      <c r="N10">
        <f t="shared" si="1"/>
        <v>140</v>
      </c>
      <c r="O10">
        <f t="shared" si="1"/>
        <v>150</v>
      </c>
      <c r="P10">
        <f t="shared" si="1"/>
        <v>160</v>
      </c>
      <c r="Q10">
        <f t="shared" si="1"/>
        <v>170</v>
      </c>
      <c r="R10">
        <f t="shared" si="1"/>
        <v>180</v>
      </c>
      <c r="S10">
        <f t="shared" si="1"/>
        <v>190</v>
      </c>
      <c r="T10">
        <f t="shared" si="1"/>
        <v>200</v>
      </c>
    </row>
    <row r="11" spans="1:20" x14ac:dyDescent="0.25">
      <c r="A11">
        <f t="shared" si="3"/>
        <v>11</v>
      </c>
      <c r="B11">
        <f t="shared" si="2"/>
        <v>22</v>
      </c>
      <c r="C11">
        <f t="shared" si="1"/>
        <v>33</v>
      </c>
      <c r="D11">
        <f t="shared" si="1"/>
        <v>44</v>
      </c>
      <c r="E11">
        <f t="shared" si="1"/>
        <v>55</v>
      </c>
      <c r="F11">
        <f t="shared" si="1"/>
        <v>66</v>
      </c>
      <c r="G11">
        <f t="shared" si="1"/>
        <v>77</v>
      </c>
      <c r="H11">
        <f t="shared" si="1"/>
        <v>88</v>
      </c>
      <c r="I11">
        <f t="shared" si="1"/>
        <v>99</v>
      </c>
      <c r="J11">
        <f t="shared" si="1"/>
        <v>110</v>
      </c>
      <c r="K11">
        <f t="shared" si="1"/>
        <v>121</v>
      </c>
      <c r="L11">
        <f t="shared" si="1"/>
        <v>132</v>
      </c>
      <c r="M11">
        <f t="shared" si="1"/>
        <v>143</v>
      </c>
      <c r="N11">
        <f t="shared" si="1"/>
        <v>154</v>
      </c>
      <c r="O11">
        <f t="shared" si="1"/>
        <v>165</v>
      </c>
      <c r="P11">
        <f t="shared" si="1"/>
        <v>176</v>
      </c>
      <c r="Q11">
        <f t="shared" si="1"/>
        <v>187</v>
      </c>
      <c r="R11">
        <f t="shared" si="1"/>
        <v>198</v>
      </c>
      <c r="S11">
        <f t="shared" si="1"/>
        <v>209</v>
      </c>
      <c r="T11">
        <f t="shared" si="1"/>
        <v>220</v>
      </c>
    </row>
    <row r="12" spans="1:20" x14ac:dyDescent="0.25">
      <c r="A12">
        <f t="shared" si="3"/>
        <v>12</v>
      </c>
      <c r="B12">
        <f t="shared" si="2"/>
        <v>24</v>
      </c>
      <c r="C12">
        <f t="shared" si="1"/>
        <v>36</v>
      </c>
      <c r="D12">
        <f t="shared" si="1"/>
        <v>48</v>
      </c>
      <c r="E12">
        <f t="shared" si="1"/>
        <v>60</v>
      </c>
      <c r="F12">
        <f t="shared" si="1"/>
        <v>72</v>
      </c>
      <c r="G12">
        <f t="shared" si="1"/>
        <v>84</v>
      </c>
      <c r="H12">
        <f t="shared" si="1"/>
        <v>96</v>
      </c>
      <c r="I12">
        <f t="shared" si="1"/>
        <v>108</v>
      </c>
      <c r="J12">
        <f t="shared" si="1"/>
        <v>120</v>
      </c>
      <c r="K12">
        <f t="shared" si="1"/>
        <v>132</v>
      </c>
      <c r="L12">
        <f t="shared" si="1"/>
        <v>144</v>
      </c>
      <c r="M12">
        <f t="shared" si="1"/>
        <v>156</v>
      </c>
      <c r="N12">
        <f t="shared" si="1"/>
        <v>168</v>
      </c>
      <c r="O12">
        <f t="shared" si="1"/>
        <v>180</v>
      </c>
      <c r="P12">
        <f t="shared" si="1"/>
        <v>192</v>
      </c>
      <c r="Q12">
        <f t="shared" si="1"/>
        <v>204</v>
      </c>
      <c r="R12">
        <f t="shared" si="1"/>
        <v>216</v>
      </c>
      <c r="S12">
        <f t="shared" si="1"/>
        <v>228</v>
      </c>
      <c r="T12">
        <f t="shared" si="1"/>
        <v>240</v>
      </c>
    </row>
    <row r="13" spans="1:20" x14ac:dyDescent="0.25">
      <c r="A13">
        <f t="shared" si="3"/>
        <v>13</v>
      </c>
      <c r="B13">
        <f t="shared" si="2"/>
        <v>26</v>
      </c>
      <c r="C13">
        <f t="shared" si="1"/>
        <v>39</v>
      </c>
      <c r="D13">
        <f t="shared" si="1"/>
        <v>52</v>
      </c>
      <c r="E13">
        <f t="shared" si="1"/>
        <v>65</v>
      </c>
      <c r="F13">
        <f t="shared" si="1"/>
        <v>78</v>
      </c>
      <c r="G13">
        <f t="shared" si="1"/>
        <v>91</v>
      </c>
      <c r="H13">
        <f t="shared" si="1"/>
        <v>104</v>
      </c>
      <c r="I13">
        <f t="shared" si="1"/>
        <v>117</v>
      </c>
      <c r="J13">
        <f t="shared" si="1"/>
        <v>130</v>
      </c>
      <c r="K13">
        <f t="shared" si="1"/>
        <v>143</v>
      </c>
      <c r="L13">
        <f t="shared" si="1"/>
        <v>156</v>
      </c>
      <c r="M13">
        <f t="shared" si="1"/>
        <v>169</v>
      </c>
      <c r="N13">
        <f t="shared" si="1"/>
        <v>182</v>
      </c>
      <c r="O13">
        <f t="shared" si="1"/>
        <v>195</v>
      </c>
      <c r="P13">
        <f t="shared" si="1"/>
        <v>208</v>
      </c>
      <c r="Q13">
        <f t="shared" si="1"/>
        <v>221</v>
      </c>
      <c r="R13">
        <f t="shared" si="1"/>
        <v>234</v>
      </c>
      <c r="S13">
        <f t="shared" si="1"/>
        <v>247</v>
      </c>
      <c r="T13">
        <f t="shared" si="1"/>
        <v>260</v>
      </c>
    </row>
    <row r="14" spans="1:20" x14ac:dyDescent="0.25">
      <c r="A14">
        <f t="shared" si="3"/>
        <v>14</v>
      </c>
      <c r="B14">
        <f t="shared" si="2"/>
        <v>28</v>
      </c>
      <c r="C14">
        <f t="shared" si="1"/>
        <v>42</v>
      </c>
      <c r="D14">
        <f t="shared" si="1"/>
        <v>56</v>
      </c>
      <c r="E14">
        <f t="shared" si="1"/>
        <v>70</v>
      </c>
      <c r="F14">
        <f t="shared" si="1"/>
        <v>84</v>
      </c>
      <c r="G14">
        <f t="shared" si="1"/>
        <v>98</v>
      </c>
      <c r="H14">
        <f t="shared" si="1"/>
        <v>112</v>
      </c>
      <c r="I14">
        <f t="shared" si="1"/>
        <v>126</v>
      </c>
      <c r="J14">
        <f t="shared" si="1"/>
        <v>140</v>
      </c>
      <c r="K14">
        <f t="shared" si="1"/>
        <v>154</v>
      </c>
      <c r="L14">
        <f t="shared" si="1"/>
        <v>168</v>
      </c>
      <c r="M14">
        <f t="shared" si="1"/>
        <v>182</v>
      </c>
      <c r="N14">
        <f t="shared" si="1"/>
        <v>196</v>
      </c>
      <c r="O14">
        <f t="shared" si="1"/>
        <v>210</v>
      </c>
      <c r="P14">
        <f t="shared" si="1"/>
        <v>224</v>
      </c>
      <c r="Q14">
        <f t="shared" si="1"/>
        <v>238</v>
      </c>
      <c r="R14">
        <f t="shared" si="1"/>
        <v>252</v>
      </c>
      <c r="S14">
        <f t="shared" si="1"/>
        <v>266</v>
      </c>
      <c r="T14">
        <f t="shared" si="1"/>
        <v>280</v>
      </c>
    </row>
    <row r="15" spans="1:20" x14ac:dyDescent="0.25">
      <c r="A15">
        <f t="shared" si="3"/>
        <v>15</v>
      </c>
      <c r="B15">
        <f t="shared" si="2"/>
        <v>30</v>
      </c>
      <c r="C15">
        <f t="shared" si="1"/>
        <v>45</v>
      </c>
      <c r="D15">
        <f t="shared" si="1"/>
        <v>60</v>
      </c>
      <c r="E15">
        <f t="shared" si="1"/>
        <v>75</v>
      </c>
      <c r="F15">
        <f t="shared" si="1"/>
        <v>90</v>
      </c>
      <c r="G15">
        <f t="shared" si="1"/>
        <v>105</v>
      </c>
      <c r="H15">
        <f t="shared" si="1"/>
        <v>120</v>
      </c>
      <c r="I15">
        <f t="shared" si="1"/>
        <v>135</v>
      </c>
      <c r="J15">
        <f t="shared" si="1"/>
        <v>150</v>
      </c>
      <c r="K15">
        <f t="shared" si="1"/>
        <v>165</v>
      </c>
      <c r="L15">
        <f t="shared" si="1"/>
        <v>180</v>
      </c>
      <c r="M15">
        <f t="shared" si="1"/>
        <v>195</v>
      </c>
      <c r="N15">
        <f t="shared" si="1"/>
        <v>210</v>
      </c>
      <c r="O15">
        <f t="shared" si="1"/>
        <v>225</v>
      </c>
      <c r="P15">
        <f t="shared" si="1"/>
        <v>240</v>
      </c>
      <c r="Q15">
        <f t="shared" si="1"/>
        <v>255</v>
      </c>
      <c r="R15">
        <f t="shared" si="1"/>
        <v>270</v>
      </c>
      <c r="S15">
        <f t="shared" si="1"/>
        <v>285</v>
      </c>
      <c r="T15">
        <f t="shared" si="1"/>
        <v>300</v>
      </c>
    </row>
    <row r="16" spans="1:20" x14ac:dyDescent="0.25">
      <c r="A16">
        <f t="shared" si="3"/>
        <v>16</v>
      </c>
      <c r="B16">
        <f t="shared" si="2"/>
        <v>32</v>
      </c>
      <c r="C16">
        <f t="shared" si="1"/>
        <v>48</v>
      </c>
      <c r="D16">
        <f t="shared" si="1"/>
        <v>64</v>
      </c>
      <c r="E16">
        <f t="shared" si="1"/>
        <v>80</v>
      </c>
      <c r="F16">
        <f t="shared" ref="F16:T20" si="4">F$1*$A16</f>
        <v>96</v>
      </c>
      <c r="G16">
        <f t="shared" si="4"/>
        <v>112</v>
      </c>
      <c r="H16">
        <f t="shared" si="4"/>
        <v>128</v>
      </c>
      <c r="I16">
        <f t="shared" si="4"/>
        <v>144</v>
      </c>
      <c r="J16">
        <f t="shared" si="4"/>
        <v>160</v>
      </c>
      <c r="K16">
        <f t="shared" si="4"/>
        <v>176</v>
      </c>
      <c r="L16">
        <f t="shared" si="4"/>
        <v>192</v>
      </c>
      <c r="M16">
        <f t="shared" si="4"/>
        <v>208</v>
      </c>
      <c r="N16">
        <f t="shared" si="4"/>
        <v>224</v>
      </c>
      <c r="O16">
        <f t="shared" si="4"/>
        <v>240</v>
      </c>
      <c r="P16">
        <f t="shared" si="4"/>
        <v>256</v>
      </c>
      <c r="Q16">
        <f t="shared" si="4"/>
        <v>272</v>
      </c>
      <c r="R16">
        <f t="shared" si="4"/>
        <v>288</v>
      </c>
      <c r="S16">
        <f t="shared" si="4"/>
        <v>304</v>
      </c>
      <c r="T16">
        <f t="shared" si="4"/>
        <v>320</v>
      </c>
    </row>
    <row r="17" spans="1:20" x14ac:dyDescent="0.25">
      <c r="A17">
        <f t="shared" si="3"/>
        <v>17</v>
      </c>
      <c r="B17">
        <f t="shared" si="2"/>
        <v>34</v>
      </c>
      <c r="C17">
        <f t="shared" ref="C17:R20" si="5">C$1*$A17</f>
        <v>51</v>
      </c>
      <c r="D17">
        <f t="shared" si="5"/>
        <v>68</v>
      </c>
      <c r="E17">
        <f t="shared" si="5"/>
        <v>85</v>
      </c>
      <c r="F17">
        <f t="shared" si="5"/>
        <v>102</v>
      </c>
      <c r="G17">
        <f t="shared" si="5"/>
        <v>119</v>
      </c>
      <c r="H17">
        <f t="shared" si="5"/>
        <v>136</v>
      </c>
      <c r="I17">
        <f t="shared" si="5"/>
        <v>153</v>
      </c>
      <c r="J17">
        <f t="shared" si="5"/>
        <v>170</v>
      </c>
      <c r="K17">
        <f t="shared" si="5"/>
        <v>187</v>
      </c>
      <c r="L17">
        <f t="shared" si="5"/>
        <v>204</v>
      </c>
      <c r="M17">
        <f t="shared" si="5"/>
        <v>221</v>
      </c>
      <c r="N17">
        <f t="shared" si="5"/>
        <v>238</v>
      </c>
      <c r="O17">
        <f t="shared" si="5"/>
        <v>255</v>
      </c>
      <c r="P17">
        <f t="shared" si="5"/>
        <v>272</v>
      </c>
      <c r="Q17">
        <f t="shared" si="5"/>
        <v>289</v>
      </c>
      <c r="R17">
        <f t="shared" si="5"/>
        <v>306</v>
      </c>
      <c r="S17">
        <f t="shared" si="4"/>
        <v>323</v>
      </c>
      <c r="T17">
        <f t="shared" si="4"/>
        <v>340</v>
      </c>
    </row>
    <row r="18" spans="1:20" x14ac:dyDescent="0.25">
      <c r="A18">
        <f t="shared" si="3"/>
        <v>18</v>
      </c>
      <c r="B18">
        <f t="shared" si="2"/>
        <v>36</v>
      </c>
      <c r="C18">
        <f t="shared" si="5"/>
        <v>54</v>
      </c>
      <c r="D18">
        <f t="shared" si="5"/>
        <v>72</v>
      </c>
      <c r="E18">
        <f t="shared" si="5"/>
        <v>90</v>
      </c>
      <c r="F18">
        <f t="shared" si="5"/>
        <v>108</v>
      </c>
      <c r="G18">
        <f t="shared" si="5"/>
        <v>126</v>
      </c>
      <c r="H18">
        <f t="shared" si="5"/>
        <v>144</v>
      </c>
      <c r="I18">
        <f t="shared" si="5"/>
        <v>162</v>
      </c>
      <c r="J18">
        <f t="shared" si="5"/>
        <v>180</v>
      </c>
      <c r="K18">
        <f t="shared" si="5"/>
        <v>198</v>
      </c>
      <c r="L18">
        <f t="shared" si="5"/>
        <v>216</v>
      </c>
      <c r="M18">
        <f t="shared" si="5"/>
        <v>234</v>
      </c>
      <c r="N18">
        <f t="shared" si="5"/>
        <v>252</v>
      </c>
      <c r="O18">
        <f t="shared" si="5"/>
        <v>270</v>
      </c>
      <c r="P18">
        <f t="shared" si="5"/>
        <v>288</v>
      </c>
      <c r="Q18">
        <f t="shared" si="5"/>
        <v>306</v>
      </c>
      <c r="R18">
        <f t="shared" si="5"/>
        <v>324</v>
      </c>
      <c r="S18">
        <f t="shared" si="4"/>
        <v>342</v>
      </c>
      <c r="T18">
        <f t="shared" si="4"/>
        <v>360</v>
      </c>
    </row>
    <row r="19" spans="1:20" x14ac:dyDescent="0.25">
      <c r="A19">
        <f t="shared" si="3"/>
        <v>19</v>
      </c>
      <c r="B19">
        <f t="shared" si="2"/>
        <v>38</v>
      </c>
      <c r="C19">
        <f t="shared" si="5"/>
        <v>57</v>
      </c>
      <c r="D19">
        <f t="shared" si="5"/>
        <v>76</v>
      </c>
      <c r="E19">
        <f t="shared" si="5"/>
        <v>95</v>
      </c>
      <c r="F19">
        <f t="shared" si="5"/>
        <v>114</v>
      </c>
      <c r="G19">
        <f t="shared" si="5"/>
        <v>133</v>
      </c>
      <c r="H19">
        <f t="shared" si="5"/>
        <v>152</v>
      </c>
      <c r="I19">
        <f t="shared" si="5"/>
        <v>171</v>
      </c>
      <c r="J19">
        <f t="shared" si="5"/>
        <v>190</v>
      </c>
      <c r="K19">
        <f t="shared" si="5"/>
        <v>209</v>
      </c>
      <c r="L19">
        <f t="shared" si="5"/>
        <v>228</v>
      </c>
      <c r="M19">
        <f t="shared" si="5"/>
        <v>247</v>
      </c>
      <c r="N19">
        <f t="shared" si="5"/>
        <v>266</v>
      </c>
      <c r="O19">
        <f t="shared" si="5"/>
        <v>285</v>
      </c>
      <c r="P19">
        <f t="shared" si="5"/>
        <v>304</v>
      </c>
      <c r="Q19">
        <f t="shared" si="5"/>
        <v>323</v>
      </c>
      <c r="R19">
        <f t="shared" si="5"/>
        <v>342</v>
      </c>
      <c r="S19">
        <f t="shared" si="4"/>
        <v>361</v>
      </c>
      <c r="T19">
        <f t="shared" si="4"/>
        <v>380</v>
      </c>
    </row>
    <row r="20" spans="1:20" x14ac:dyDescent="0.25">
      <c r="A20">
        <f t="shared" si="3"/>
        <v>20</v>
      </c>
      <c r="B20">
        <f t="shared" si="2"/>
        <v>40</v>
      </c>
      <c r="C20">
        <f t="shared" si="5"/>
        <v>60</v>
      </c>
      <c r="D20">
        <f t="shared" si="5"/>
        <v>80</v>
      </c>
      <c r="E20">
        <f t="shared" si="5"/>
        <v>100</v>
      </c>
      <c r="F20">
        <f t="shared" si="5"/>
        <v>120</v>
      </c>
      <c r="G20">
        <f t="shared" si="5"/>
        <v>140</v>
      </c>
      <c r="H20">
        <f t="shared" si="5"/>
        <v>160</v>
      </c>
      <c r="I20">
        <f t="shared" si="5"/>
        <v>180</v>
      </c>
      <c r="J20">
        <f t="shared" si="5"/>
        <v>200</v>
      </c>
      <c r="K20">
        <f t="shared" si="5"/>
        <v>220</v>
      </c>
      <c r="L20">
        <f t="shared" si="5"/>
        <v>240</v>
      </c>
      <c r="M20">
        <f t="shared" si="5"/>
        <v>260</v>
      </c>
      <c r="N20">
        <f t="shared" si="5"/>
        <v>280</v>
      </c>
      <c r="O20">
        <f t="shared" si="5"/>
        <v>300</v>
      </c>
      <c r="P20">
        <f t="shared" si="5"/>
        <v>320</v>
      </c>
      <c r="Q20">
        <f t="shared" si="5"/>
        <v>340</v>
      </c>
      <c r="R20">
        <f t="shared" si="5"/>
        <v>360</v>
      </c>
      <c r="S20">
        <f t="shared" si="4"/>
        <v>380</v>
      </c>
      <c r="T20">
        <f t="shared" si="4"/>
        <v>400</v>
      </c>
    </row>
    <row r="21" spans="1:20" x14ac:dyDescent="0.25">
      <c r="T21">
        <f>SUM(A1:A20)</f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20"/>
  <sheetViews>
    <sheetView workbookViewId="0">
      <selection activeCell="H12" sqref="H12"/>
    </sheetView>
  </sheetViews>
  <sheetFormatPr defaultRowHeight="15" x14ac:dyDescent="0.25"/>
  <sheetData>
    <row r="1" spans="1:3" x14ac:dyDescent="0.25">
      <c r="B1">
        <f>Лист1!A1</f>
        <v>1</v>
      </c>
      <c r="C1">
        <f>$A$2^B1</f>
        <v>2</v>
      </c>
    </row>
    <row r="2" spans="1:3" x14ac:dyDescent="0.25">
      <c r="A2">
        <f>Лист1!A2</f>
        <v>2</v>
      </c>
      <c r="B2">
        <f>Лист1!A2</f>
        <v>2</v>
      </c>
      <c r="C2">
        <f t="shared" ref="C2:C20" si="0">$A$2^B2</f>
        <v>4</v>
      </c>
    </row>
    <row r="3" spans="1:3" x14ac:dyDescent="0.25">
      <c r="B3">
        <f>Лист1!A3</f>
        <v>3</v>
      </c>
      <c r="C3">
        <f t="shared" si="0"/>
        <v>8</v>
      </c>
    </row>
    <row r="4" spans="1:3" x14ac:dyDescent="0.25">
      <c r="B4">
        <f>Лист1!A4</f>
        <v>4</v>
      </c>
      <c r="C4">
        <f t="shared" si="0"/>
        <v>16</v>
      </c>
    </row>
    <row r="5" spans="1:3" x14ac:dyDescent="0.25">
      <c r="B5">
        <f>Лист1!A5</f>
        <v>5</v>
      </c>
      <c r="C5">
        <f t="shared" si="0"/>
        <v>32</v>
      </c>
    </row>
    <row r="6" spans="1:3" x14ac:dyDescent="0.25">
      <c r="B6">
        <f>Лист1!A6</f>
        <v>6</v>
      </c>
      <c r="C6">
        <f t="shared" si="0"/>
        <v>64</v>
      </c>
    </row>
    <row r="7" spans="1:3" x14ac:dyDescent="0.25">
      <c r="B7">
        <f>Лист1!A7</f>
        <v>7</v>
      </c>
      <c r="C7">
        <f t="shared" si="0"/>
        <v>128</v>
      </c>
    </row>
    <row r="8" spans="1:3" x14ac:dyDescent="0.25">
      <c r="B8">
        <f>Лист1!A8</f>
        <v>8</v>
      </c>
      <c r="C8">
        <f t="shared" si="0"/>
        <v>256</v>
      </c>
    </row>
    <row r="9" spans="1:3" x14ac:dyDescent="0.25">
      <c r="B9">
        <f>Лист1!A9</f>
        <v>9</v>
      </c>
      <c r="C9">
        <f t="shared" si="0"/>
        <v>512</v>
      </c>
    </row>
    <row r="10" spans="1:3" x14ac:dyDescent="0.25">
      <c r="B10">
        <f>Лист1!A10</f>
        <v>10</v>
      </c>
      <c r="C10">
        <f t="shared" si="0"/>
        <v>1024</v>
      </c>
    </row>
    <row r="11" spans="1:3" x14ac:dyDescent="0.25">
      <c r="B11">
        <f>Лист1!A11</f>
        <v>11</v>
      </c>
      <c r="C11">
        <f t="shared" si="0"/>
        <v>2048</v>
      </c>
    </row>
    <row r="12" spans="1:3" x14ac:dyDescent="0.25">
      <c r="B12">
        <f>Лист1!A12</f>
        <v>12</v>
      </c>
      <c r="C12">
        <f t="shared" si="0"/>
        <v>4096</v>
      </c>
    </row>
    <row r="13" spans="1:3" x14ac:dyDescent="0.25">
      <c r="B13">
        <f>Лист1!A13</f>
        <v>13</v>
      </c>
      <c r="C13">
        <f t="shared" si="0"/>
        <v>8192</v>
      </c>
    </row>
    <row r="14" spans="1:3" x14ac:dyDescent="0.25">
      <c r="B14">
        <f>Лист1!A14</f>
        <v>14</v>
      </c>
      <c r="C14">
        <f t="shared" si="0"/>
        <v>16384</v>
      </c>
    </row>
    <row r="15" spans="1:3" x14ac:dyDescent="0.25">
      <c r="B15">
        <f>Лист1!A15</f>
        <v>15</v>
      </c>
      <c r="C15">
        <f t="shared" si="0"/>
        <v>32768</v>
      </c>
    </row>
    <row r="16" spans="1:3" x14ac:dyDescent="0.25">
      <c r="B16">
        <f>Лист1!A16</f>
        <v>16</v>
      </c>
      <c r="C16">
        <f t="shared" si="0"/>
        <v>65536</v>
      </c>
    </row>
    <row r="17" spans="2:3" x14ac:dyDescent="0.25">
      <c r="B17">
        <f>Лист1!A17</f>
        <v>17</v>
      </c>
      <c r="C17">
        <f t="shared" si="0"/>
        <v>131072</v>
      </c>
    </row>
    <row r="18" spans="2:3" x14ac:dyDescent="0.25">
      <c r="B18">
        <f>Лист1!A18</f>
        <v>18</v>
      </c>
      <c r="C18">
        <f t="shared" si="0"/>
        <v>262144</v>
      </c>
    </row>
    <row r="19" spans="2:3" x14ac:dyDescent="0.25">
      <c r="B19">
        <f>Лист1!A19</f>
        <v>19</v>
      </c>
      <c r="C19">
        <f t="shared" si="0"/>
        <v>524288</v>
      </c>
    </row>
    <row r="20" spans="2:3" x14ac:dyDescent="0.25">
      <c r="B20">
        <f>Лист1!A20</f>
        <v>20</v>
      </c>
      <c r="C20">
        <f t="shared" si="0"/>
        <v>1048576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7"/>
  <sheetViews>
    <sheetView workbookViewId="0">
      <selection activeCell="H15" sqref="H15"/>
    </sheetView>
  </sheetViews>
  <sheetFormatPr defaultRowHeight="15" x14ac:dyDescent="0.25"/>
  <sheetData>
    <row r="1" spans="1:4" x14ac:dyDescent="0.25">
      <c r="A1" t="s">
        <v>0</v>
      </c>
      <c r="B1" t="s">
        <v>1</v>
      </c>
    </row>
    <row r="2" spans="1:4" x14ac:dyDescent="0.25">
      <c r="A2">
        <v>3</v>
      </c>
      <c r="B2">
        <f>LOG(A2,2)</f>
        <v>1.5849625007211563</v>
      </c>
    </row>
    <row r="5" spans="1:4" x14ac:dyDescent="0.25">
      <c r="A5">
        <v>2</v>
      </c>
      <c r="B5">
        <v>3</v>
      </c>
      <c r="C5">
        <v>4</v>
      </c>
      <c r="D5">
        <v>5</v>
      </c>
    </row>
    <row r="6" spans="1:4" x14ac:dyDescent="0.25">
      <c r="A6">
        <v>0.05</v>
      </c>
      <c r="B6">
        <v>0.1</v>
      </c>
      <c r="C6">
        <v>0.25</v>
      </c>
      <c r="D6">
        <v>0.6</v>
      </c>
    </row>
    <row r="7" spans="1:4" x14ac:dyDescent="0.25">
      <c r="A7">
        <f>LOG(1/A6,2)</f>
        <v>4.3219280948873626</v>
      </c>
      <c r="B7">
        <f t="shared" ref="B7:D7" si="0">LOG(1/B6,2)</f>
        <v>3.3219280948873626</v>
      </c>
      <c r="C7">
        <f t="shared" si="0"/>
        <v>2</v>
      </c>
      <c r="D7">
        <f t="shared" si="0"/>
        <v>0.73696559416620622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"/>
  <sheetViews>
    <sheetView workbookViewId="0">
      <selection activeCell="A2" sqref="A2"/>
    </sheetView>
  </sheetViews>
  <sheetFormatPr defaultRowHeight="15" x14ac:dyDescent="0.25"/>
  <cols>
    <col min="1" max="1" width="58.42578125" customWidth="1"/>
    <col min="3" max="3" width="6.7109375" customWidth="1"/>
    <col min="4" max="4" width="14.7109375" customWidth="1"/>
  </cols>
  <sheetData>
    <row r="1" spans="1:5" ht="21" customHeight="1" x14ac:dyDescent="0.25">
      <c r="A1" s="2" t="s">
        <v>7</v>
      </c>
      <c r="B1" t="s">
        <v>4</v>
      </c>
    </row>
    <row r="2" spans="1:5" ht="15.75" x14ac:dyDescent="0.25">
      <c r="A2" s="2"/>
      <c r="B2" s="1">
        <f>LEN(A1)</f>
        <v>52</v>
      </c>
      <c r="C2" t="s">
        <v>8</v>
      </c>
      <c r="E2" t="s">
        <v>10</v>
      </c>
    </row>
    <row r="3" spans="1:5" x14ac:dyDescent="0.25">
      <c r="B3">
        <f>IF(B1="бит", 16, 2)</f>
        <v>2</v>
      </c>
      <c r="C3" t="s">
        <v>9</v>
      </c>
      <c r="E3" t="s">
        <v>3</v>
      </c>
    </row>
    <row r="4" spans="1:5" x14ac:dyDescent="0.25">
      <c r="B4">
        <f>B2*B3</f>
        <v>104</v>
      </c>
      <c r="C4" t="str">
        <f>IF(B1="бит","бит", "байт")</f>
        <v>байт</v>
      </c>
      <c r="E4" t="s">
        <v>2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Лист6!$A$2:$A$3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M14"/>
  <sheetViews>
    <sheetView topLeftCell="A2" workbookViewId="0">
      <selection activeCell="F14" sqref="F14:M14"/>
    </sheetView>
  </sheetViews>
  <sheetFormatPr defaultRowHeight="15" x14ac:dyDescent="0.25"/>
  <cols>
    <col min="1" max="1" width="11.85546875" customWidth="1"/>
  </cols>
  <sheetData>
    <row r="1" spans="1:13" x14ac:dyDescent="0.25">
      <c r="A1" t="s">
        <v>6</v>
      </c>
      <c r="B1" t="s">
        <v>14</v>
      </c>
    </row>
    <row r="2" spans="1:13" x14ac:dyDescent="0.25">
      <c r="A2" t="s">
        <v>4</v>
      </c>
    </row>
    <row r="3" spans="1:13" x14ac:dyDescent="0.25">
      <c r="A3" t="s">
        <v>5</v>
      </c>
      <c r="E3">
        <f>IF($B$1&gt;0&amp;$B$3&gt;0, MOD($B$1,100),0)</f>
        <v>0</v>
      </c>
      <c r="F3">
        <f t="shared" ref="F3:J3" si="0">IF($B$1&gt;0&amp;$B$3&gt;0, MOD($B$1,100),0)</f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</row>
    <row r="5" spans="1:13" x14ac:dyDescent="0.25">
      <c r="C5">
        <f>Лист7!B1</f>
        <v>123456</v>
      </c>
      <c r="D5">
        <f>LEN(C5)</f>
        <v>6</v>
      </c>
      <c r="F5">
        <f>Лист7!D4/10</f>
        <v>5.6</v>
      </c>
      <c r="G5">
        <f>Лист7!E4/100</f>
        <v>4.5599999999999996</v>
      </c>
      <c r="H5">
        <f>Лист7!F4/1000</f>
        <v>3.456</v>
      </c>
      <c r="I5">
        <f>Лист7!G4/10000</f>
        <v>2.3456000000000001</v>
      </c>
      <c r="J5">
        <f>Лист7!H4/100000</f>
        <v>1.2345600000000001</v>
      </c>
    </row>
    <row r="6" spans="1:13" x14ac:dyDescent="0.25">
      <c r="F6" t="e">
        <f>ц</f>
        <v>#NAME?</v>
      </c>
    </row>
    <row r="7" spans="1:13" x14ac:dyDescent="0.25">
      <c r="D7">
        <v>1</v>
      </c>
    </row>
    <row r="14" spans="1:13" x14ac:dyDescent="0.25"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6"/>
  <sheetViews>
    <sheetView workbookViewId="0">
      <selection activeCell="H4" sqref="H4"/>
    </sheetView>
  </sheetViews>
  <sheetFormatPr defaultRowHeight="15" x14ac:dyDescent="0.25"/>
  <cols>
    <col min="1" max="1" width="20.7109375" customWidth="1"/>
    <col min="9" max="9" width="30.140625" customWidth="1"/>
  </cols>
  <sheetData>
    <row r="1" spans="1:9" x14ac:dyDescent="0.25">
      <c r="A1" t="s">
        <v>11</v>
      </c>
      <c r="B1">
        <v>123456</v>
      </c>
    </row>
    <row r="2" spans="1:9" x14ac:dyDescent="0.25">
      <c r="A2" t="s">
        <v>12</v>
      </c>
      <c r="B2">
        <v>7</v>
      </c>
    </row>
    <row r="3" spans="1:9" x14ac:dyDescent="0.25">
      <c r="A3" t="s">
        <v>13</v>
      </c>
      <c r="B3">
        <f>LEN(B1)</f>
        <v>6</v>
      </c>
    </row>
    <row r="4" spans="1:9" x14ac:dyDescent="0.25">
      <c r="C4">
        <f>IF($B$1&gt;0&amp;$B$3&gt;0, MOD($B$1,10),0)</f>
        <v>6</v>
      </c>
      <c r="D4">
        <f>IF($B$1&gt;0&amp;$B$3&gt;0, MOD($B$1,100),0)</f>
        <v>56</v>
      </c>
      <c r="E4">
        <f>IF($B$1&gt;0&amp;$B$3&gt;0, MOD($B$1,1000),0)</f>
        <v>456</v>
      </c>
      <c r="F4">
        <f>IF($B$1&gt;0&amp;$B$3&gt;0, MOD($B$1,10000),0)</f>
        <v>3456</v>
      </c>
      <c r="G4">
        <f>IF($B$1&gt;0&amp;$B$3&gt;0, MOD($B$1,100000),0)</f>
        <v>23456</v>
      </c>
      <c r="H4">
        <f>IF($B$1&gt;0&amp;$B$3&gt;0, MOD($B$1,1000000),0)</f>
        <v>123456</v>
      </c>
    </row>
    <row r="5" spans="1:9" x14ac:dyDescent="0.25">
      <c r="C5">
        <f>C4</f>
        <v>6</v>
      </c>
      <c r="D5">
        <f>INT(Лист6!F5)</f>
        <v>5</v>
      </c>
      <c r="E5">
        <f>INT(Лист6!G5)</f>
        <v>4</v>
      </c>
      <c r="F5">
        <f>INT(Лист6!H5)</f>
        <v>3</v>
      </c>
      <c r="G5">
        <f>INT(Лист6!I5)</f>
        <v>2</v>
      </c>
      <c r="H5">
        <f>INT(Лист6!J5)</f>
        <v>1</v>
      </c>
      <c r="I5" t="s">
        <v>15</v>
      </c>
    </row>
    <row r="6" spans="1:9" x14ac:dyDescent="0.25">
      <c r="C6">
        <f>C5*$B$2^0</f>
        <v>6</v>
      </c>
      <c r="D6">
        <f>D5*$B$2^1</f>
        <v>35</v>
      </c>
      <c r="E6">
        <f>E5*$B$2^2</f>
        <v>196</v>
      </c>
      <c r="F6">
        <f>F5*$B$2^3</f>
        <v>1029</v>
      </c>
      <c r="G6">
        <f>G5*$B$2^4</f>
        <v>4802</v>
      </c>
      <c r="H6">
        <f>H5*$B$2^5</f>
        <v>16807</v>
      </c>
      <c r="I6">
        <f>C6+D6+E6+F6+G6+H6</f>
        <v>22875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3"/>
  <sheetViews>
    <sheetView workbookViewId="0">
      <selection activeCell="J15" sqref="J15"/>
    </sheetView>
  </sheetViews>
  <sheetFormatPr defaultRowHeight="15" x14ac:dyDescent="0.25"/>
  <sheetData>
    <row r="1" spans="1:13" x14ac:dyDescent="0.25">
      <c r="A1">
        <v>58</v>
      </c>
      <c r="C1">
        <f>MOD($A$1,$A$2)</f>
        <v>1</v>
      </c>
      <c r="D1">
        <f>MOD(C2,$A$2)</f>
        <v>1</v>
      </c>
      <c r="E1">
        <f t="shared" ref="E1:G1" si="0">MOD(D2,$A$2)</f>
        <v>0</v>
      </c>
      <c r="F1">
        <f t="shared" si="0"/>
        <v>2</v>
      </c>
      <c r="G1">
        <f t="shared" si="0"/>
        <v>0</v>
      </c>
    </row>
    <row r="2" spans="1:13" x14ac:dyDescent="0.25">
      <c r="A2">
        <v>3</v>
      </c>
      <c r="C2">
        <f>INT(C3)</f>
        <v>19</v>
      </c>
      <c r="D2">
        <f>INT(D3)</f>
        <v>6</v>
      </c>
      <c r="E2">
        <f t="shared" ref="E2:G2" si="1">INT(E3)</f>
        <v>2</v>
      </c>
      <c r="F2">
        <f t="shared" si="1"/>
        <v>0</v>
      </c>
      <c r="G2">
        <f t="shared" si="1"/>
        <v>0</v>
      </c>
      <c r="M2" t="str">
        <f>K1&amp;J1&amp;I1&amp;H1&amp;G1&amp;F1&amp;E1&amp;D1&amp;C1</f>
        <v>02011</v>
      </c>
    </row>
    <row r="3" spans="1:13" x14ac:dyDescent="0.25">
      <c r="C3">
        <f>$A$1/$A$2</f>
        <v>19.333333333333332</v>
      </c>
      <c r="D3">
        <f>C2/$A$2</f>
        <v>6.333333333333333</v>
      </c>
      <c r="E3">
        <f t="shared" ref="E3:G3" si="2">D2/$A$2</f>
        <v>2</v>
      </c>
      <c r="F3">
        <f t="shared" si="2"/>
        <v>0.66666666666666663</v>
      </c>
      <c r="G3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110"/>
  <sheetViews>
    <sheetView workbookViewId="0">
      <selection activeCell="A11" sqref="A11"/>
    </sheetView>
  </sheetViews>
  <sheetFormatPr defaultRowHeight="15" x14ac:dyDescent="0.25"/>
  <cols>
    <col min="1" max="1" width="16.28515625" customWidth="1"/>
    <col min="2" max="2" width="8.28515625" customWidth="1"/>
    <col min="3" max="3" width="14.42578125" customWidth="1"/>
    <col min="4" max="4" width="11.7109375" customWidth="1"/>
    <col min="5" max="5" width="11.28515625" customWidth="1"/>
  </cols>
  <sheetData>
    <row r="1" spans="1:6" x14ac:dyDescent="0.25">
      <c r="A1" s="3" t="s">
        <v>41</v>
      </c>
      <c r="B1" s="4" t="s">
        <v>40</v>
      </c>
      <c r="C1" s="4" t="s">
        <v>42</v>
      </c>
      <c r="D1" s="3" t="s">
        <v>35</v>
      </c>
      <c r="E1" s="4" t="s">
        <v>36</v>
      </c>
      <c r="F1" s="4" t="s">
        <v>48</v>
      </c>
    </row>
    <row r="2" spans="1:6" x14ac:dyDescent="0.25">
      <c r="A2" t="s">
        <v>16</v>
      </c>
      <c r="B2" t="s">
        <v>17</v>
      </c>
      <c r="C2" t="s">
        <v>18</v>
      </c>
      <c r="D2" t="s">
        <v>34</v>
      </c>
      <c r="E2" t="s">
        <v>37</v>
      </c>
      <c r="F2" t="s">
        <v>45</v>
      </c>
    </row>
    <row r="3" spans="1:6" x14ac:dyDescent="0.25">
      <c r="A3" t="s">
        <v>19</v>
      </c>
      <c r="B3" t="s">
        <v>20</v>
      </c>
      <c r="C3" t="s">
        <v>21</v>
      </c>
      <c r="D3" t="s">
        <v>31</v>
      </c>
      <c r="E3" t="s">
        <v>38</v>
      </c>
      <c r="F3" t="s">
        <v>46</v>
      </c>
    </row>
    <row r="4" spans="1:6" x14ac:dyDescent="0.25">
      <c r="A4" t="s">
        <v>22</v>
      </c>
      <c r="B4" t="s">
        <v>23</v>
      </c>
      <c r="C4" t="s">
        <v>24</v>
      </c>
      <c r="D4" t="s">
        <v>49</v>
      </c>
      <c r="E4" t="s">
        <v>39</v>
      </c>
      <c r="F4" t="s">
        <v>45</v>
      </c>
    </row>
    <row r="5" spans="1:6" x14ac:dyDescent="0.25">
      <c r="A5" t="s">
        <v>25</v>
      </c>
      <c r="B5" t="s">
        <v>26</v>
      </c>
      <c r="C5" t="s">
        <v>27</v>
      </c>
      <c r="D5" t="s">
        <v>32</v>
      </c>
      <c r="E5" t="s">
        <v>44</v>
      </c>
      <c r="F5" t="s">
        <v>46</v>
      </c>
    </row>
    <row r="6" spans="1:6" x14ac:dyDescent="0.25">
      <c r="A6" t="s">
        <v>28</v>
      </c>
      <c r="B6" t="s">
        <v>29</v>
      </c>
      <c r="C6" t="s">
        <v>30</v>
      </c>
      <c r="D6" t="s">
        <v>33</v>
      </c>
      <c r="E6" t="s">
        <v>43</v>
      </c>
      <c r="F6" t="s">
        <v>47</v>
      </c>
    </row>
    <row r="10" spans="1:6" x14ac:dyDescent="0.25">
      <c r="A10" t="s">
        <v>50</v>
      </c>
      <c r="B10" t="s">
        <v>17</v>
      </c>
      <c r="C10" t="s">
        <v>18</v>
      </c>
    </row>
    <row r="11" spans="1:6" x14ac:dyDescent="0.25">
      <c r="A11" t="s">
        <v>50</v>
      </c>
    </row>
    <row r="12" spans="1:6" x14ac:dyDescent="0.25">
      <c r="A12" t="s">
        <v>50</v>
      </c>
    </row>
    <row r="13" spans="1:6" x14ac:dyDescent="0.25">
      <c r="A13" t="s">
        <v>50</v>
      </c>
    </row>
    <row r="14" spans="1:6" x14ac:dyDescent="0.25">
      <c r="A14" t="s">
        <v>50</v>
      </c>
    </row>
    <row r="15" spans="1:6" x14ac:dyDescent="0.25">
      <c r="A15" t="s">
        <v>50</v>
      </c>
    </row>
    <row r="16" spans="1:6" x14ac:dyDescent="0.25">
      <c r="A16" t="s">
        <v>50</v>
      </c>
    </row>
    <row r="17" spans="1:1" x14ac:dyDescent="0.25">
      <c r="A17" t="s">
        <v>50</v>
      </c>
    </row>
    <row r="18" spans="1:1" x14ac:dyDescent="0.25">
      <c r="A18" t="s">
        <v>50</v>
      </c>
    </row>
    <row r="19" spans="1:1" x14ac:dyDescent="0.25">
      <c r="A19" t="s">
        <v>50</v>
      </c>
    </row>
    <row r="20" spans="1:1" x14ac:dyDescent="0.25">
      <c r="A20" t="s">
        <v>50</v>
      </c>
    </row>
    <row r="21" spans="1:1" x14ac:dyDescent="0.25">
      <c r="A21" t="s">
        <v>50</v>
      </c>
    </row>
    <row r="22" spans="1:1" x14ac:dyDescent="0.25">
      <c r="A22" t="s">
        <v>50</v>
      </c>
    </row>
    <row r="23" spans="1:1" x14ac:dyDescent="0.25">
      <c r="A23" t="s">
        <v>50</v>
      </c>
    </row>
    <row r="24" spans="1:1" x14ac:dyDescent="0.25">
      <c r="A24" t="s">
        <v>50</v>
      </c>
    </row>
    <row r="25" spans="1:1" x14ac:dyDescent="0.25">
      <c r="A25" t="s">
        <v>50</v>
      </c>
    </row>
    <row r="26" spans="1:1" x14ac:dyDescent="0.25">
      <c r="A26" t="s">
        <v>50</v>
      </c>
    </row>
    <row r="27" spans="1:1" x14ac:dyDescent="0.25">
      <c r="A27" t="s">
        <v>50</v>
      </c>
    </row>
    <row r="28" spans="1:1" x14ac:dyDescent="0.25">
      <c r="A28" t="s">
        <v>50</v>
      </c>
    </row>
    <row r="29" spans="1:1" x14ac:dyDescent="0.25">
      <c r="A29" t="s">
        <v>50</v>
      </c>
    </row>
    <row r="30" spans="1:1" x14ac:dyDescent="0.25">
      <c r="A30" t="s">
        <v>50</v>
      </c>
    </row>
    <row r="31" spans="1:1" x14ac:dyDescent="0.25">
      <c r="A31" t="s">
        <v>50</v>
      </c>
    </row>
    <row r="32" spans="1:1" x14ac:dyDescent="0.25">
      <c r="A32" t="s">
        <v>50</v>
      </c>
    </row>
    <row r="33" spans="1:1" x14ac:dyDescent="0.25">
      <c r="A33" t="s">
        <v>50</v>
      </c>
    </row>
    <row r="34" spans="1:1" x14ac:dyDescent="0.25">
      <c r="A34" t="s">
        <v>50</v>
      </c>
    </row>
    <row r="35" spans="1:1" x14ac:dyDescent="0.25">
      <c r="A35" t="s">
        <v>50</v>
      </c>
    </row>
    <row r="36" spans="1:1" x14ac:dyDescent="0.25">
      <c r="A36" t="s">
        <v>50</v>
      </c>
    </row>
    <row r="37" spans="1:1" x14ac:dyDescent="0.25">
      <c r="A37" t="s">
        <v>50</v>
      </c>
    </row>
    <row r="38" spans="1:1" x14ac:dyDescent="0.25">
      <c r="A38" t="s">
        <v>50</v>
      </c>
    </row>
    <row r="39" spans="1:1" x14ac:dyDescent="0.25">
      <c r="A39" t="s">
        <v>50</v>
      </c>
    </row>
    <row r="40" spans="1:1" x14ac:dyDescent="0.25">
      <c r="A40" t="s">
        <v>50</v>
      </c>
    </row>
    <row r="41" spans="1:1" x14ac:dyDescent="0.25">
      <c r="A41" t="s">
        <v>50</v>
      </c>
    </row>
    <row r="42" spans="1:1" x14ac:dyDescent="0.25">
      <c r="A42" t="s">
        <v>50</v>
      </c>
    </row>
    <row r="43" spans="1:1" x14ac:dyDescent="0.25">
      <c r="A43" t="s">
        <v>50</v>
      </c>
    </row>
    <row r="44" spans="1:1" x14ac:dyDescent="0.25">
      <c r="A44" t="s">
        <v>50</v>
      </c>
    </row>
    <row r="45" spans="1:1" x14ac:dyDescent="0.25">
      <c r="A45" t="s">
        <v>50</v>
      </c>
    </row>
    <row r="46" spans="1:1" x14ac:dyDescent="0.25">
      <c r="A46" t="s">
        <v>50</v>
      </c>
    </row>
    <row r="47" spans="1:1" x14ac:dyDescent="0.25">
      <c r="A47" t="s">
        <v>50</v>
      </c>
    </row>
    <row r="48" spans="1:1" x14ac:dyDescent="0.25">
      <c r="A48" t="s">
        <v>50</v>
      </c>
    </row>
    <row r="49" spans="1:1" x14ac:dyDescent="0.25">
      <c r="A49" t="s">
        <v>50</v>
      </c>
    </row>
    <row r="50" spans="1:1" x14ac:dyDescent="0.25">
      <c r="A50" t="s">
        <v>50</v>
      </c>
    </row>
    <row r="51" spans="1:1" x14ac:dyDescent="0.25">
      <c r="A51" t="s">
        <v>50</v>
      </c>
    </row>
    <row r="52" spans="1:1" x14ac:dyDescent="0.25">
      <c r="A52" t="s">
        <v>50</v>
      </c>
    </row>
    <row r="53" spans="1:1" x14ac:dyDescent="0.25">
      <c r="A53" t="s">
        <v>50</v>
      </c>
    </row>
    <row r="54" spans="1:1" x14ac:dyDescent="0.25">
      <c r="A54" t="s">
        <v>50</v>
      </c>
    </row>
    <row r="55" spans="1:1" x14ac:dyDescent="0.25">
      <c r="A55" t="s">
        <v>50</v>
      </c>
    </row>
    <row r="56" spans="1:1" x14ac:dyDescent="0.25">
      <c r="A56" t="s">
        <v>50</v>
      </c>
    </row>
    <row r="57" spans="1:1" x14ac:dyDescent="0.25">
      <c r="A57" t="s">
        <v>50</v>
      </c>
    </row>
    <row r="58" spans="1:1" x14ac:dyDescent="0.25">
      <c r="A58" t="s">
        <v>50</v>
      </c>
    </row>
    <row r="59" spans="1:1" x14ac:dyDescent="0.25">
      <c r="A59" t="s">
        <v>50</v>
      </c>
    </row>
    <row r="60" spans="1:1" x14ac:dyDescent="0.25">
      <c r="A60" t="s">
        <v>50</v>
      </c>
    </row>
    <row r="61" spans="1:1" x14ac:dyDescent="0.25">
      <c r="A61" t="s">
        <v>50</v>
      </c>
    </row>
    <row r="62" spans="1:1" x14ac:dyDescent="0.25">
      <c r="A62" t="s">
        <v>50</v>
      </c>
    </row>
    <row r="63" spans="1:1" x14ac:dyDescent="0.25">
      <c r="A63" t="s">
        <v>50</v>
      </c>
    </row>
    <row r="64" spans="1:1" x14ac:dyDescent="0.25">
      <c r="A64" t="s">
        <v>50</v>
      </c>
    </row>
    <row r="65" spans="1:1" x14ac:dyDescent="0.25">
      <c r="A65" t="s">
        <v>50</v>
      </c>
    </row>
    <row r="66" spans="1:1" x14ac:dyDescent="0.25">
      <c r="A66" t="s">
        <v>50</v>
      </c>
    </row>
    <row r="67" spans="1:1" x14ac:dyDescent="0.25">
      <c r="A67" t="s">
        <v>50</v>
      </c>
    </row>
    <row r="68" spans="1:1" x14ac:dyDescent="0.25">
      <c r="A68" t="s">
        <v>50</v>
      </c>
    </row>
    <row r="69" spans="1:1" x14ac:dyDescent="0.25">
      <c r="A69" t="s">
        <v>50</v>
      </c>
    </row>
    <row r="70" spans="1:1" x14ac:dyDescent="0.25">
      <c r="A70" t="s">
        <v>50</v>
      </c>
    </row>
    <row r="71" spans="1:1" x14ac:dyDescent="0.25">
      <c r="A71" t="s">
        <v>50</v>
      </c>
    </row>
    <row r="72" spans="1:1" x14ac:dyDescent="0.25">
      <c r="A72" t="s">
        <v>50</v>
      </c>
    </row>
    <row r="73" spans="1:1" x14ac:dyDescent="0.25">
      <c r="A73" t="s">
        <v>50</v>
      </c>
    </row>
    <row r="74" spans="1:1" x14ac:dyDescent="0.25">
      <c r="A74" t="s">
        <v>50</v>
      </c>
    </row>
    <row r="75" spans="1:1" x14ac:dyDescent="0.25">
      <c r="A75" t="s">
        <v>50</v>
      </c>
    </row>
    <row r="76" spans="1:1" x14ac:dyDescent="0.25">
      <c r="A76" t="s">
        <v>50</v>
      </c>
    </row>
    <row r="77" spans="1:1" x14ac:dyDescent="0.25">
      <c r="A77" t="s">
        <v>50</v>
      </c>
    </row>
    <row r="78" spans="1:1" x14ac:dyDescent="0.25">
      <c r="A78" t="s">
        <v>50</v>
      </c>
    </row>
    <row r="79" spans="1:1" x14ac:dyDescent="0.25">
      <c r="A79" t="s">
        <v>50</v>
      </c>
    </row>
    <row r="80" spans="1:1" x14ac:dyDescent="0.25">
      <c r="A80" t="s">
        <v>50</v>
      </c>
    </row>
    <row r="81" spans="1:1" x14ac:dyDescent="0.25">
      <c r="A81" t="s">
        <v>50</v>
      </c>
    </row>
    <row r="82" spans="1:1" x14ac:dyDescent="0.25">
      <c r="A82" t="s">
        <v>50</v>
      </c>
    </row>
    <row r="83" spans="1:1" x14ac:dyDescent="0.25">
      <c r="A83" t="s">
        <v>50</v>
      </c>
    </row>
    <row r="84" spans="1:1" x14ac:dyDescent="0.25">
      <c r="A84" t="s">
        <v>50</v>
      </c>
    </row>
    <row r="85" spans="1:1" x14ac:dyDescent="0.25">
      <c r="A85" t="s">
        <v>50</v>
      </c>
    </row>
    <row r="86" spans="1:1" x14ac:dyDescent="0.25">
      <c r="A86" t="s">
        <v>50</v>
      </c>
    </row>
    <row r="87" spans="1:1" x14ac:dyDescent="0.25">
      <c r="A87" t="s">
        <v>50</v>
      </c>
    </row>
    <row r="88" spans="1:1" x14ac:dyDescent="0.25">
      <c r="A88" t="s">
        <v>50</v>
      </c>
    </row>
    <row r="89" spans="1:1" x14ac:dyDescent="0.25">
      <c r="A89" t="s">
        <v>50</v>
      </c>
    </row>
    <row r="90" spans="1:1" x14ac:dyDescent="0.25">
      <c r="A90" t="s">
        <v>50</v>
      </c>
    </row>
    <row r="91" spans="1:1" x14ac:dyDescent="0.25">
      <c r="A91" t="s">
        <v>50</v>
      </c>
    </row>
    <row r="92" spans="1:1" x14ac:dyDescent="0.25">
      <c r="A92" t="s">
        <v>50</v>
      </c>
    </row>
    <row r="93" spans="1:1" x14ac:dyDescent="0.25">
      <c r="A93" t="s">
        <v>50</v>
      </c>
    </row>
    <row r="94" spans="1:1" x14ac:dyDescent="0.25">
      <c r="A94" t="s">
        <v>50</v>
      </c>
    </row>
    <row r="95" spans="1:1" x14ac:dyDescent="0.25">
      <c r="A95" t="s">
        <v>50</v>
      </c>
    </row>
    <row r="96" spans="1:1" x14ac:dyDescent="0.25">
      <c r="A96" t="s">
        <v>50</v>
      </c>
    </row>
    <row r="97" spans="1:1" x14ac:dyDescent="0.25">
      <c r="A97" t="s">
        <v>50</v>
      </c>
    </row>
    <row r="98" spans="1:1" x14ac:dyDescent="0.25">
      <c r="A98" t="s">
        <v>50</v>
      </c>
    </row>
    <row r="99" spans="1:1" x14ac:dyDescent="0.25">
      <c r="A99" t="s">
        <v>50</v>
      </c>
    </row>
    <row r="100" spans="1:1" x14ac:dyDescent="0.25">
      <c r="A100" t="s">
        <v>50</v>
      </c>
    </row>
    <row r="101" spans="1:1" x14ac:dyDescent="0.25">
      <c r="A101" t="s">
        <v>50</v>
      </c>
    </row>
    <row r="102" spans="1:1" x14ac:dyDescent="0.25">
      <c r="A102" t="s">
        <v>50</v>
      </c>
    </row>
    <row r="103" spans="1:1" x14ac:dyDescent="0.25">
      <c r="A103" t="s">
        <v>50</v>
      </c>
    </row>
    <row r="104" spans="1:1" x14ac:dyDescent="0.25">
      <c r="A104" t="s">
        <v>50</v>
      </c>
    </row>
    <row r="105" spans="1:1" x14ac:dyDescent="0.25">
      <c r="A105" t="s">
        <v>50</v>
      </c>
    </row>
    <row r="106" spans="1:1" x14ac:dyDescent="0.25">
      <c r="A106" t="s">
        <v>50</v>
      </c>
    </row>
    <row r="107" spans="1:1" x14ac:dyDescent="0.25">
      <c r="A107" t="s">
        <v>50</v>
      </c>
    </row>
    <row r="108" spans="1:1" x14ac:dyDescent="0.25">
      <c r="A108" t="s">
        <v>50</v>
      </c>
    </row>
    <row r="109" spans="1:1" x14ac:dyDescent="0.25">
      <c r="A109" t="s">
        <v>50</v>
      </c>
    </row>
    <row r="110" spans="1:1" x14ac:dyDescent="0.25">
      <c r="A110" t="s">
        <v>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6"/>
  <sheetViews>
    <sheetView workbookViewId="0">
      <selection activeCell="A15" sqref="A15"/>
    </sheetView>
  </sheetViews>
  <sheetFormatPr defaultRowHeight="15" x14ac:dyDescent="0.25"/>
  <cols>
    <col min="1" max="1" width="18.85546875" customWidth="1"/>
    <col min="2" max="3" width="2.85546875" customWidth="1"/>
    <col min="4" max="4" width="3.28515625" customWidth="1"/>
    <col min="5" max="5" width="3.5703125" customWidth="1"/>
    <col min="6" max="7" width="3.28515625" customWidth="1"/>
    <col min="8" max="8" width="2.28515625" customWidth="1"/>
    <col min="9" max="9" width="5" customWidth="1"/>
    <col min="10" max="11" width="3" customWidth="1"/>
    <col min="12" max="12" width="3.28515625" customWidth="1"/>
    <col min="13" max="13" width="4" customWidth="1"/>
  </cols>
  <sheetData>
    <row r="2" spans="1:14" ht="13.5" customHeight="1" x14ac:dyDescent="0.25">
      <c r="A2" t="s">
        <v>51</v>
      </c>
      <c r="D2">
        <v>9</v>
      </c>
    </row>
    <row r="4" spans="1:14" x14ac:dyDescent="0.25">
      <c r="A4" t="s">
        <v>52</v>
      </c>
      <c r="B4">
        <v>5</v>
      </c>
      <c r="C4">
        <v>4</v>
      </c>
      <c r="D4">
        <v>3</v>
      </c>
      <c r="E4">
        <v>2</v>
      </c>
      <c r="F4">
        <v>1</v>
      </c>
      <c r="G4">
        <v>0</v>
      </c>
      <c r="I4">
        <v>-1</v>
      </c>
      <c r="J4">
        <v>-2</v>
      </c>
      <c r="K4">
        <v>-3</v>
      </c>
      <c r="L4">
        <v>-4</v>
      </c>
    </row>
    <row r="5" spans="1:14" x14ac:dyDescent="0.25">
      <c r="A5" t="s">
        <v>11</v>
      </c>
      <c r="D5">
        <v>2</v>
      </c>
      <c r="E5">
        <v>0</v>
      </c>
      <c r="F5">
        <v>1</v>
      </c>
      <c r="G5">
        <v>1</v>
      </c>
      <c r="H5" t="s">
        <v>56</v>
      </c>
      <c r="I5">
        <v>1</v>
      </c>
      <c r="M5" t="s">
        <v>54</v>
      </c>
      <c r="N5">
        <f>D5*D2^D4+E5*D2^E4+F5*D2^F4+G5*D2^G4+I5*D2^I4</f>
        <v>1468.1111111111111</v>
      </c>
    </row>
    <row r="6" spans="1:14" x14ac:dyDescent="0.25">
      <c r="A6" t="s">
        <v>53</v>
      </c>
      <c r="B6">
        <v>0</v>
      </c>
      <c r="C6">
        <v>0</v>
      </c>
      <c r="D6">
        <v>54</v>
      </c>
      <c r="E6">
        <v>0</v>
      </c>
      <c r="F6">
        <v>3</v>
      </c>
      <c r="G6">
        <v>1</v>
      </c>
      <c r="I6" t="s">
        <v>55</v>
      </c>
      <c r="J6">
        <v>0</v>
      </c>
      <c r="K6">
        <v>0</v>
      </c>
      <c r="L6">
        <v>0</v>
      </c>
    </row>
  </sheetData>
  <dataValidations count="1">
    <dataValidation type="whole" allowBlank="1" showInputMessage="1" showErrorMessage="1" sqref="D2">
      <formula1>3</formula1>
      <formula2>9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5"/>
  <sheetViews>
    <sheetView tabSelected="1" workbookViewId="0">
      <selection activeCell="A5" sqref="A5:B36"/>
    </sheetView>
  </sheetViews>
  <sheetFormatPr defaultRowHeight="15" x14ac:dyDescent="0.25"/>
  <cols>
    <col min="1" max="1" width="11.5703125" customWidth="1"/>
    <col min="2" max="2" width="15" customWidth="1"/>
    <col min="5" max="5" width="10.28515625" bestFit="1" customWidth="1"/>
  </cols>
  <sheetData>
    <row r="1" spans="1:7" x14ac:dyDescent="0.25">
      <c r="A1" s="6" t="s">
        <v>81</v>
      </c>
      <c r="B1" s="6" t="s">
        <v>83</v>
      </c>
    </row>
    <row r="2" spans="1:7" x14ac:dyDescent="0.25">
      <c r="A2" s="7" t="s">
        <v>82</v>
      </c>
      <c r="B2" s="8" t="str">
        <f ca="1">CONCATENATE(G5,G6,G7,G8,G9,G10,G11,G12,G13,G14,G15,G16,G17,G18,G19,G20,G21,G22,G23,G24,G25,G26,G27,G28,G29,G30,G31,G32,G33,G34,G35,G36,)</f>
        <v xml:space="preserve">.…-...---                            </v>
      </c>
    </row>
    <row r="4" spans="1:7" x14ac:dyDescent="0.25">
      <c r="A4" t="s">
        <v>58</v>
      </c>
    </row>
    <row r="5" spans="1:7" x14ac:dyDescent="0.25">
      <c r="A5" t="s">
        <v>59</v>
      </c>
      <c r="B5" s="5" t="s">
        <v>69</v>
      </c>
      <c r="C5">
        <v>1</v>
      </c>
      <c r="D5" t="str">
        <f>MID($B$1,C5,1)</f>
        <v>е</v>
      </c>
      <c r="E5">
        <f>SEARCH(D5,$A$4,1)</f>
        <v>6</v>
      </c>
      <c r="F5" t="str">
        <f ca="1">OFFSET(A$5, E5-1, 1, 1, 1)</f>
        <v>.</v>
      </c>
      <c r="G5" t="str">
        <f t="shared" ref="G5:G8" ca="1" si="0">IFERROR(F5, " ")</f>
        <v>.</v>
      </c>
    </row>
    <row r="6" spans="1:7" x14ac:dyDescent="0.25">
      <c r="A6" t="s">
        <v>60</v>
      </c>
      <c r="B6" s="5" t="s">
        <v>70</v>
      </c>
      <c r="C6">
        <v>2</v>
      </c>
      <c r="D6" t="str">
        <f t="shared" ref="D6:D18" si="1">MID($B$1,C6,1)</f>
        <v>ж</v>
      </c>
      <c r="E6">
        <f t="shared" ref="E6:E36" si="2">SEARCH(D6,$A$4,1)</f>
        <v>7</v>
      </c>
      <c r="F6" t="str">
        <f t="shared" ref="F6:F36" ca="1" si="3">OFFSET(A$5, E6-1, 1, 1, 1)</f>
        <v>…-</v>
      </c>
      <c r="G6" t="str">
        <f t="shared" ca="1" si="0"/>
        <v>…-</v>
      </c>
    </row>
    <row r="7" spans="1:7" x14ac:dyDescent="0.25">
      <c r="A7" t="s">
        <v>61</v>
      </c>
      <c r="B7" s="5" t="s">
        <v>71</v>
      </c>
      <c r="C7">
        <v>3</v>
      </c>
      <c r="D7" t="str">
        <f t="shared" si="1"/>
        <v>и</v>
      </c>
      <c r="E7">
        <f t="shared" si="2"/>
        <v>9</v>
      </c>
      <c r="F7" t="str">
        <f t="shared" ca="1" si="3"/>
        <v>..</v>
      </c>
      <c r="G7" t="str">
        <f t="shared" ca="1" si="0"/>
        <v>..</v>
      </c>
    </row>
    <row r="8" spans="1:7" x14ac:dyDescent="0.25">
      <c r="A8" t="s">
        <v>62</v>
      </c>
      <c r="B8" s="5" t="s">
        <v>72</v>
      </c>
      <c r="C8">
        <v>4</v>
      </c>
      <c r="D8" t="str">
        <f t="shared" si="1"/>
        <v>к</v>
      </c>
      <c r="E8">
        <f t="shared" si="2"/>
        <v>10</v>
      </c>
      <c r="F8" t="str">
        <f t="shared" ca="1" si="3"/>
        <v>.---</v>
      </c>
      <c r="G8" t="str">
        <f t="shared" ca="1" si="0"/>
        <v>.---</v>
      </c>
    </row>
    <row r="9" spans="1:7" x14ac:dyDescent="0.25">
      <c r="A9" t="s">
        <v>63</v>
      </c>
      <c r="B9" s="5" t="s">
        <v>73</v>
      </c>
      <c r="C9">
        <v>5</v>
      </c>
      <c r="D9" t="str">
        <f t="shared" si="1"/>
        <v/>
      </c>
      <c r="E9" t="e">
        <f>MATCH(D9,$A$4,1)</f>
        <v>#N/A</v>
      </c>
      <c r="F9" t="e">
        <f t="shared" ca="1" si="3"/>
        <v>#N/A</v>
      </c>
      <c r="G9" t="str">
        <f ca="1">IFERROR(F9, " ")</f>
        <v xml:space="preserve"> </v>
      </c>
    </row>
    <row r="10" spans="1:7" x14ac:dyDescent="0.25">
      <c r="A10" t="s">
        <v>64</v>
      </c>
      <c r="B10" s="5" t="s">
        <v>74</v>
      </c>
      <c r="C10">
        <v>6</v>
      </c>
      <c r="D10" t="str">
        <f t="shared" si="1"/>
        <v/>
      </c>
      <c r="E10" t="e">
        <f t="shared" ref="E10:E36" si="4">MATCH(D10,$A$4,1)</f>
        <v>#N/A</v>
      </c>
      <c r="F10" t="e">
        <f t="shared" ca="1" si="3"/>
        <v>#N/A</v>
      </c>
      <c r="G10" t="str">
        <f t="shared" ref="G10:G36" ca="1" si="5">IFERROR(F10, " ")</f>
        <v xml:space="preserve"> </v>
      </c>
    </row>
    <row r="11" spans="1:7" x14ac:dyDescent="0.25">
      <c r="A11" t="s">
        <v>65</v>
      </c>
      <c r="B11" s="5" t="s">
        <v>75</v>
      </c>
      <c r="C11">
        <v>7</v>
      </c>
      <c r="D11" t="str">
        <f t="shared" si="1"/>
        <v/>
      </c>
      <c r="E11" t="e">
        <f t="shared" si="4"/>
        <v>#N/A</v>
      </c>
      <c r="F11" t="e">
        <f t="shared" ca="1" si="3"/>
        <v>#N/A</v>
      </c>
      <c r="G11" t="str">
        <f t="shared" ca="1" si="5"/>
        <v xml:space="preserve"> </v>
      </c>
    </row>
    <row r="12" spans="1:7" x14ac:dyDescent="0.25">
      <c r="A12" t="s">
        <v>66</v>
      </c>
      <c r="B12" s="5" t="s">
        <v>76</v>
      </c>
      <c r="C12">
        <v>8</v>
      </c>
      <c r="D12" t="str">
        <f t="shared" si="1"/>
        <v/>
      </c>
      <c r="E12" t="e">
        <f t="shared" si="4"/>
        <v>#N/A</v>
      </c>
      <c r="F12" t="e">
        <f t="shared" ca="1" si="3"/>
        <v>#N/A</v>
      </c>
      <c r="G12" t="str">
        <f t="shared" ca="1" si="5"/>
        <v xml:space="preserve"> </v>
      </c>
    </row>
    <row r="13" spans="1:7" x14ac:dyDescent="0.25">
      <c r="A13" t="s">
        <v>67</v>
      </c>
      <c r="B13" s="5" t="s">
        <v>77</v>
      </c>
      <c r="C13">
        <v>9</v>
      </c>
      <c r="D13" t="str">
        <f t="shared" si="1"/>
        <v/>
      </c>
      <c r="E13" t="e">
        <f t="shared" si="4"/>
        <v>#N/A</v>
      </c>
      <c r="F13" t="e">
        <f t="shared" ca="1" si="3"/>
        <v>#N/A</v>
      </c>
      <c r="G13" t="str">
        <f t="shared" ca="1" si="5"/>
        <v xml:space="preserve"> </v>
      </c>
    </row>
    <row r="14" spans="1:7" x14ac:dyDescent="0.25">
      <c r="A14" t="s">
        <v>78</v>
      </c>
      <c r="B14" s="5" t="s">
        <v>79</v>
      </c>
      <c r="C14">
        <v>10</v>
      </c>
      <c r="D14" t="str">
        <f t="shared" si="1"/>
        <v/>
      </c>
      <c r="E14" t="e">
        <f t="shared" si="4"/>
        <v>#N/A</v>
      </c>
      <c r="F14" t="e">
        <f t="shared" ca="1" si="3"/>
        <v>#N/A</v>
      </c>
      <c r="G14" t="str">
        <f t="shared" ca="1" si="5"/>
        <v xml:space="preserve"> </v>
      </c>
    </row>
    <row r="15" spans="1:7" x14ac:dyDescent="0.25">
      <c r="A15" t="s">
        <v>68</v>
      </c>
      <c r="B15" s="5" t="s">
        <v>80</v>
      </c>
      <c r="C15">
        <v>11</v>
      </c>
      <c r="D15" t="str">
        <f t="shared" si="1"/>
        <v/>
      </c>
      <c r="E15" t="e">
        <f t="shared" si="4"/>
        <v>#N/A</v>
      </c>
      <c r="F15" t="e">
        <f t="shared" ca="1" si="3"/>
        <v>#N/A</v>
      </c>
      <c r="G15" t="str">
        <f t="shared" ca="1" si="5"/>
        <v xml:space="preserve"> </v>
      </c>
    </row>
    <row r="16" spans="1:7" x14ac:dyDescent="0.25">
      <c r="A16" t="s">
        <v>84</v>
      </c>
      <c r="B16" s="5" t="s">
        <v>106</v>
      </c>
      <c r="C16">
        <v>12</v>
      </c>
      <c r="D16" t="str">
        <f t="shared" si="1"/>
        <v/>
      </c>
      <c r="E16" t="e">
        <f t="shared" si="4"/>
        <v>#N/A</v>
      </c>
      <c r="F16" t="e">
        <f t="shared" ca="1" si="3"/>
        <v>#N/A</v>
      </c>
      <c r="G16" t="str">
        <f t="shared" ca="1" si="5"/>
        <v xml:space="preserve"> </v>
      </c>
    </row>
    <row r="17" spans="1:10" x14ac:dyDescent="0.25">
      <c r="A17" t="s">
        <v>85</v>
      </c>
      <c r="B17" s="9" t="s">
        <v>105</v>
      </c>
      <c r="C17">
        <v>13</v>
      </c>
      <c r="D17" t="str">
        <f t="shared" si="1"/>
        <v/>
      </c>
      <c r="E17" t="e">
        <f t="shared" si="4"/>
        <v>#N/A</v>
      </c>
      <c r="F17" t="e">
        <f t="shared" ca="1" si="3"/>
        <v>#N/A</v>
      </c>
      <c r="G17" t="str">
        <f t="shared" ca="1" si="5"/>
        <v xml:space="preserve"> </v>
      </c>
    </row>
    <row r="18" spans="1:10" x14ac:dyDescent="0.25">
      <c r="A18" t="s">
        <v>86</v>
      </c>
      <c r="B18" s="5" t="s">
        <v>112</v>
      </c>
      <c r="C18">
        <v>14</v>
      </c>
      <c r="D18" t="str">
        <f t="shared" si="1"/>
        <v/>
      </c>
      <c r="E18" t="e">
        <f t="shared" si="4"/>
        <v>#N/A</v>
      </c>
      <c r="F18" t="e">
        <f t="shared" ca="1" si="3"/>
        <v>#N/A</v>
      </c>
      <c r="G18" t="str">
        <f t="shared" ca="1" si="5"/>
        <v xml:space="preserve"> </v>
      </c>
    </row>
    <row r="19" spans="1:10" x14ac:dyDescent="0.25">
      <c r="A19" t="s">
        <v>87</v>
      </c>
      <c r="B19" s="5" t="s">
        <v>108</v>
      </c>
      <c r="C19">
        <f>C18+1</f>
        <v>15</v>
      </c>
      <c r="E19" t="e">
        <f t="shared" si="4"/>
        <v>#N/A</v>
      </c>
      <c r="F19" t="e">
        <f t="shared" ca="1" si="3"/>
        <v>#N/A</v>
      </c>
      <c r="G19" t="str">
        <f t="shared" ca="1" si="5"/>
        <v xml:space="preserve"> </v>
      </c>
    </row>
    <row r="20" spans="1:10" x14ac:dyDescent="0.25">
      <c r="A20" t="s">
        <v>88</v>
      </c>
      <c r="B20" s="5" t="s">
        <v>109</v>
      </c>
      <c r="C20">
        <f t="shared" ref="C20:C36" si="6">C19+1</f>
        <v>16</v>
      </c>
      <c r="E20" t="e">
        <f t="shared" si="4"/>
        <v>#N/A</v>
      </c>
      <c r="F20" t="e">
        <f t="shared" ca="1" si="3"/>
        <v>#N/A</v>
      </c>
      <c r="G20" t="str">
        <f t="shared" ca="1" si="5"/>
        <v xml:space="preserve"> </v>
      </c>
    </row>
    <row r="21" spans="1:10" x14ac:dyDescent="0.25">
      <c r="A21" t="s">
        <v>89</v>
      </c>
      <c r="B21" s="5" t="s">
        <v>110</v>
      </c>
      <c r="C21">
        <f t="shared" si="6"/>
        <v>17</v>
      </c>
      <c r="E21" t="e">
        <f t="shared" si="4"/>
        <v>#N/A</v>
      </c>
      <c r="F21" t="e">
        <f t="shared" ca="1" si="3"/>
        <v>#N/A</v>
      </c>
      <c r="G21" t="str">
        <f t="shared" ca="1" si="5"/>
        <v xml:space="preserve"> </v>
      </c>
    </row>
    <row r="22" spans="1:10" x14ac:dyDescent="0.25">
      <c r="A22" t="s">
        <v>90</v>
      </c>
      <c r="B22" s="5" t="s">
        <v>111</v>
      </c>
      <c r="C22">
        <f t="shared" si="6"/>
        <v>18</v>
      </c>
      <c r="E22" t="e">
        <f t="shared" si="4"/>
        <v>#N/A</v>
      </c>
      <c r="F22" t="e">
        <f t="shared" ca="1" si="3"/>
        <v>#N/A</v>
      </c>
      <c r="G22" t="str">
        <f t="shared" ca="1" si="5"/>
        <v xml:space="preserve"> </v>
      </c>
    </row>
    <row r="23" spans="1:10" x14ac:dyDescent="0.25">
      <c r="A23" t="s">
        <v>91</v>
      </c>
      <c r="B23" s="5" t="s">
        <v>107</v>
      </c>
      <c r="C23">
        <f t="shared" si="6"/>
        <v>19</v>
      </c>
      <c r="E23" t="e">
        <f t="shared" si="4"/>
        <v>#N/A</v>
      </c>
      <c r="F23" t="e">
        <f t="shared" ca="1" si="3"/>
        <v>#N/A</v>
      </c>
      <c r="G23" t="str">
        <f t="shared" ca="1" si="5"/>
        <v xml:space="preserve"> </v>
      </c>
    </row>
    <row r="24" spans="1:10" x14ac:dyDescent="0.25">
      <c r="A24" t="s">
        <v>92</v>
      </c>
      <c r="B24" s="5" t="s">
        <v>113</v>
      </c>
      <c r="C24">
        <f t="shared" si="6"/>
        <v>20</v>
      </c>
      <c r="E24" t="e">
        <f t="shared" si="4"/>
        <v>#N/A</v>
      </c>
      <c r="F24" t="e">
        <f t="shared" ca="1" si="3"/>
        <v>#N/A</v>
      </c>
      <c r="G24" t="str">
        <f t="shared" ca="1" si="5"/>
        <v xml:space="preserve"> </v>
      </c>
    </row>
    <row r="25" spans="1:10" x14ac:dyDescent="0.25">
      <c r="A25" t="s">
        <v>93</v>
      </c>
      <c r="B25" s="5" t="s">
        <v>114</v>
      </c>
      <c r="C25">
        <f t="shared" si="6"/>
        <v>21</v>
      </c>
      <c r="E25" t="e">
        <f t="shared" si="4"/>
        <v>#N/A</v>
      </c>
      <c r="F25" t="e">
        <f t="shared" ca="1" si="3"/>
        <v>#N/A</v>
      </c>
      <c r="G25" t="str">
        <f t="shared" ca="1" si="5"/>
        <v xml:space="preserve"> </v>
      </c>
    </row>
    <row r="26" spans="1:10" x14ac:dyDescent="0.25">
      <c r="A26" t="s">
        <v>94</v>
      </c>
      <c r="B26" s="5" t="s">
        <v>115</v>
      </c>
      <c r="C26">
        <f t="shared" si="6"/>
        <v>22</v>
      </c>
      <c r="E26" t="e">
        <f t="shared" si="4"/>
        <v>#N/A</v>
      </c>
      <c r="F26" t="e">
        <f t="shared" ca="1" si="3"/>
        <v>#N/A</v>
      </c>
      <c r="G26" t="str">
        <f t="shared" ca="1" si="5"/>
        <v xml:space="preserve"> </v>
      </c>
    </row>
    <row r="27" spans="1:10" x14ac:dyDescent="0.25">
      <c r="A27" t="s">
        <v>95</v>
      </c>
      <c r="B27" s="5" t="s">
        <v>116</v>
      </c>
      <c r="C27">
        <f t="shared" si="6"/>
        <v>23</v>
      </c>
      <c r="E27" t="e">
        <f t="shared" si="4"/>
        <v>#N/A</v>
      </c>
      <c r="F27" t="e">
        <f t="shared" ca="1" si="3"/>
        <v>#N/A</v>
      </c>
      <c r="G27" t="str">
        <f t="shared" ca="1" si="5"/>
        <v xml:space="preserve"> </v>
      </c>
    </row>
    <row r="28" spans="1:10" x14ac:dyDescent="0.25">
      <c r="A28" t="s">
        <v>96</v>
      </c>
      <c r="B28" s="5" t="s">
        <v>117</v>
      </c>
      <c r="C28">
        <f t="shared" si="6"/>
        <v>24</v>
      </c>
      <c r="E28" t="e">
        <f t="shared" si="4"/>
        <v>#N/A</v>
      </c>
      <c r="F28" t="e">
        <f t="shared" ca="1" si="3"/>
        <v>#N/A</v>
      </c>
      <c r="G28" t="str">
        <f t="shared" ca="1" si="5"/>
        <v xml:space="preserve"> </v>
      </c>
    </row>
    <row r="29" spans="1:10" x14ac:dyDescent="0.25">
      <c r="A29" t="s">
        <v>97</v>
      </c>
      <c r="B29" s="5" t="s">
        <v>118</v>
      </c>
      <c r="C29">
        <f t="shared" si="6"/>
        <v>25</v>
      </c>
      <c r="E29" t="e">
        <f t="shared" si="4"/>
        <v>#N/A</v>
      </c>
      <c r="F29" t="e">
        <f t="shared" ca="1" si="3"/>
        <v>#N/A</v>
      </c>
      <c r="G29" t="str">
        <f t="shared" ca="1" si="5"/>
        <v xml:space="preserve"> </v>
      </c>
    </row>
    <row r="30" spans="1:10" x14ac:dyDescent="0.25">
      <c r="A30" t="s">
        <v>98</v>
      </c>
      <c r="B30" s="5" t="s">
        <v>119</v>
      </c>
      <c r="C30">
        <f t="shared" si="6"/>
        <v>26</v>
      </c>
      <c r="E30" t="e">
        <f t="shared" si="4"/>
        <v>#N/A</v>
      </c>
      <c r="F30" t="e">
        <f t="shared" ca="1" si="3"/>
        <v>#N/A</v>
      </c>
      <c r="G30" t="str">
        <f t="shared" ca="1" si="5"/>
        <v xml:space="preserve"> </v>
      </c>
    </row>
    <row r="31" spans="1:10" x14ac:dyDescent="0.25">
      <c r="A31" t="s">
        <v>99</v>
      </c>
      <c r="B31" s="5" t="s">
        <v>120</v>
      </c>
      <c r="C31">
        <f t="shared" si="6"/>
        <v>27</v>
      </c>
      <c r="E31" t="e">
        <f t="shared" si="4"/>
        <v>#N/A</v>
      </c>
      <c r="F31" t="e">
        <f t="shared" ca="1" si="3"/>
        <v>#N/A</v>
      </c>
      <c r="G31" t="str">
        <f t="shared" ca="1" si="5"/>
        <v xml:space="preserve"> </v>
      </c>
    </row>
    <row r="32" spans="1:10" x14ac:dyDescent="0.25">
      <c r="A32" t="s">
        <v>100</v>
      </c>
      <c r="B32" s="5" t="s">
        <v>121</v>
      </c>
      <c r="C32">
        <f t="shared" si="6"/>
        <v>28</v>
      </c>
      <c r="E32" t="e">
        <f t="shared" si="4"/>
        <v>#N/A</v>
      </c>
      <c r="F32" t="e">
        <f t="shared" ca="1" si="3"/>
        <v>#N/A</v>
      </c>
      <c r="G32" t="str">
        <f t="shared" ca="1" si="5"/>
        <v xml:space="preserve"> </v>
      </c>
      <c r="J32" t="s">
        <v>57</v>
      </c>
    </row>
    <row r="33" spans="1:7" x14ac:dyDescent="0.25">
      <c r="A33" t="s">
        <v>101</v>
      </c>
      <c r="B33" s="5" t="s">
        <v>122</v>
      </c>
      <c r="C33">
        <f t="shared" si="6"/>
        <v>29</v>
      </c>
      <c r="E33" t="e">
        <f t="shared" si="4"/>
        <v>#N/A</v>
      </c>
      <c r="F33" t="e">
        <f t="shared" ca="1" si="3"/>
        <v>#N/A</v>
      </c>
      <c r="G33" t="str">
        <f t="shared" ca="1" si="5"/>
        <v xml:space="preserve"> </v>
      </c>
    </row>
    <row r="34" spans="1:7" x14ac:dyDescent="0.25">
      <c r="A34" t="s">
        <v>102</v>
      </c>
      <c r="B34" s="5" t="s">
        <v>123</v>
      </c>
      <c r="C34">
        <f t="shared" si="6"/>
        <v>30</v>
      </c>
      <c r="E34" t="e">
        <f t="shared" si="4"/>
        <v>#N/A</v>
      </c>
      <c r="F34" t="e">
        <f t="shared" ca="1" si="3"/>
        <v>#N/A</v>
      </c>
      <c r="G34" t="str">
        <f t="shared" ca="1" si="5"/>
        <v xml:space="preserve"> </v>
      </c>
    </row>
    <row r="35" spans="1:7" x14ac:dyDescent="0.25">
      <c r="A35" t="s">
        <v>103</v>
      </c>
      <c r="B35" s="5" t="s">
        <v>124</v>
      </c>
      <c r="C35">
        <f t="shared" si="6"/>
        <v>31</v>
      </c>
      <c r="E35" t="e">
        <f t="shared" si="4"/>
        <v>#N/A</v>
      </c>
      <c r="F35" t="e">
        <f t="shared" ca="1" si="3"/>
        <v>#N/A</v>
      </c>
      <c r="G35" t="str">
        <f t="shared" ca="1" si="5"/>
        <v xml:space="preserve"> </v>
      </c>
    </row>
    <row r="36" spans="1:7" x14ac:dyDescent="0.25">
      <c r="A36" t="s">
        <v>104</v>
      </c>
      <c r="B36" s="5" t="s">
        <v>125</v>
      </c>
      <c r="C36">
        <f t="shared" si="6"/>
        <v>32</v>
      </c>
      <c r="E36" t="e">
        <f t="shared" si="4"/>
        <v>#N/A</v>
      </c>
      <c r="F36" t="e">
        <f t="shared" ca="1" si="3"/>
        <v>#N/A</v>
      </c>
      <c r="G36" t="str">
        <f t="shared" ca="1" si="5"/>
        <v xml:space="preserve"> </v>
      </c>
    </row>
    <row r="45" spans="1:7" x14ac:dyDescent="0.25">
      <c r="B45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Лист1</vt:lpstr>
      <vt:lpstr>Лист2</vt:lpstr>
      <vt:lpstr>Лист3</vt:lpstr>
      <vt:lpstr>Лист5</vt:lpstr>
      <vt:lpstr>Лист6</vt:lpstr>
      <vt:lpstr>Лист7</vt:lpstr>
      <vt:lpstr>Лист4</vt:lpstr>
      <vt:lpstr>Лист8</vt:lpstr>
      <vt:lpstr>Лист9</vt:lpstr>
      <vt:lpstr>Лист10</vt:lpstr>
      <vt:lpstr>Лист11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Студент</cp:lastModifiedBy>
  <dcterms:created xsi:type="dcterms:W3CDTF">2022-09-05T05:41:59Z</dcterms:created>
  <dcterms:modified xsi:type="dcterms:W3CDTF">2022-09-19T07:56:31Z</dcterms:modified>
</cp:coreProperties>
</file>